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P&amp;L 2026 YTD (Bank)" sheetId="1" state="visible" r:id="rId3"/>
    <sheet name="2026 Bank Transactions" sheetId="2" state="visible" r:id="rId4"/>
    <sheet name="BANK RECORDS" sheetId="3" state="visible" r:id="rId5"/>
    <sheet name="VAT OUTSTANDING" sheetId="4" state="visible" r:id="rId6"/>
    <sheet name="P&amp;L 26" sheetId="5" state="visible" r:id="rId7"/>
    <sheet name="BS 26" sheetId="6" state="visible" r:id="rId8"/>
    <sheet name="BS 18M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<sst xmlns="http://schemas.openxmlformats.org/spreadsheetml/2006/main" count="6731" uniqueCount="519">
  <si>
    <t xml:space="preserve">DMF Automation</t>
  </si>
  <si>
    <t xml:space="preserve">Profit &amp; Loss Statement — Year to Date 2026 (Jan–Aug, from bank records)</t>
  </si>
  <si>
    <t xml:space="preserve">All figures in EUR. Compiled from actual bank inflows/outflows per the 'BANK RECORDS' tab; see '2026 Bank Transactions' tab for transaction-level detail and category assignment logic.</t>
  </si>
  <si>
    <t xml:space="preserve">Category</t>
  </si>
  <si>
    <t xml:space="preserve">Jan-Feb 2026</t>
  </si>
  <si>
    <t xml:space="preserve">Mar-Apr 2026</t>
  </si>
  <si>
    <t xml:space="preserve">May-Jun 2026</t>
  </si>
  <si>
    <t xml:space="preserve">Jul-Aug 2026</t>
  </si>
  <si>
    <t xml:space="preserve">Total YTD</t>
  </si>
  <si>
    <t xml:space="preserve">Revenue</t>
  </si>
  <si>
    <t xml:space="preserve">Sales Revenue</t>
  </si>
  <si>
    <t xml:space="preserve">VAT Refund</t>
  </si>
  <si>
    <t xml:space="preserve">Total Revenue</t>
  </si>
  <si>
    <t xml:space="preserve">Cost of Sales</t>
  </si>
  <si>
    <t xml:space="preserve">Automation Subcontractors &amp; Suppliers</t>
  </si>
  <si>
    <t xml:space="preserve">Materials &amp; Components</t>
  </si>
  <si>
    <t xml:space="preserve">Total Cost of Sales</t>
  </si>
  <si>
    <t xml:space="preserve">Gross Profit</t>
  </si>
  <si>
    <t xml:space="preserve">Operating Expenses</t>
  </si>
  <si>
    <t xml:space="preserve">Software &amp; IT Subscriptions</t>
  </si>
  <si>
    <t xml:space="preserve">Insurance</t>
  </si>
  <si>
    <t xml:space="preserve">Payroll &amp; Directors' Remuneration</t>
  </si>
  <si>
    <t xml:space="preserve">Professional &amp; Statutory Fees</t>
  </si>
  <si>
    <t xml:space="preserve">Travel, Subsistence &amp; Entertainment</t>
  </si>
  <si>
    <t xml:space="preserve">Tax Payments (Revenue Commissioners)</t>
  </si>
  <si>
    <t xml:space="preserve">Bank, Card &amp; Misc Fees</t>
  </si>
  <si>
    <t xml:space="preserve">Unlabeled / Uncategorised Items</t>
  </si>
  <si>
    <t xml:space="preserve">Total Operating Expenses</t>
  </si>
  <si>
    <t xml:space="preserve">NET PROFIT / (LOSS)</t>
  </si>
  <si>
    <t xml:space="preserve">Period</t>
  </si>
  <si>
    <t xml:space="preserve">Bank Records Row</t>
  </si>
  <si>
    <t xml:space="preserve">Vendor / Description</t>
  </si>
  <si>
    <t xml:space="preserve">In (EUR)</t>
  </si>
  <si>
    <t xml:space="preserve">Out (EUR)</t>
  </si>
  <si>
    <t xml:space="preserve">P&amp;L Category</t>
  </si>
  <si>
    <t xml:space="preserve">Jan/Feb 2026</t>
  </si>
  <si>
    <t xml:space="preserve">GOOGLE WORKSPACE</t>
  </si>
  <si>
    <t xml:space="preserve">CLEVERCARDS</t>
  </si>
  <si>
    <t xml:space="preserve">512121000234402026 SP</t>
  </si>
  <si>
    <t xml:space="preserve">INSIGHT</t>
  </si>
  <si>
    <t xml:space="preserve">POS06JAN SAS</t>
  </si>
  <si>
    <t xml:space="preserve">POS09JAN PAYPAL PPGF</t>
  </si>
  <si>
    <t xml:space="preserve">ALI EXPRESS</t>
  </si>
  <si>
    <t xml:space="preserve">SCREWFIX</t>
  </si>
  <si>
    <t xml:space="preserve">ARACHAS.IE O</t>
  </si>
  <si>
    <t xml:space="preserve">EATM</t>
  </si>
  <si>
    <t xml:space="preserve">BARRIE</t>
  </si>
  <si>
    <t xml:space="preserve">RUBIX</t>
  </si>
  <si>
    <t xml:space="preserve">APPLE.COM</t>
  </si>
  <si>
    <t xml:space="preserve">URBAN K</t>
  </si>
  <si>
    <t xml:space="preserve">PPGF</t>
  </si>
  <si>
    <t xml:space="preserve">BAMB</t>
  </si>
  <si>
    <t xml:space="preserve">REVENUE</t>
  </si>
  <si>
    <t xml:space="preserve">TITAN CONTAI</t>
  </si>
  <si>
    <t xml:space="preserve">ATC</t>
  </si>
  <si>
    <t xml:space="preserve">MUSGRAVE</t>
  </si>
  <si>
    <t xml:space="preserve">THE YACHT</t>
  </si>
  <si>
    <t xml:space="preserve">RADIONICS</t>
  </si>
  <si>
    <t xml:space="preserve">HYGIENE</t>
  </si>
  <si>
    <t xml:space="preserve">HYDRAQUIP</t>
  </si>
  <si>
    <t xml:space="preserve">PAYPAL SANH</t>
  </si>
  <si>
    <t xml:space="preserve">NATIONAL AUTO SEPA DD</t>
  </si>
  <si>
    <t xml:space="preserve">EFLOW</t>
  </si>
  <si>
    <t xml:space="preserve">MICHAEL WAGES</t>
  </si>
  <si>
    <t xml:space="preserve">AUTODESK ADY SEPA DD</t>
  </si>
  <si>
    <t xml:space="preserve">FARRELLY</t>
  </si>
  <si>
    <t xml:space="preserve">PAYPAL PPGF</t>
  </si>
  <si>
    <t xml:space="preserve">SHERATON AT</t>
  </si>
  <si>
    <t xml:space="preserve">PAYPAL BOOK</t>
  </si>
  <si>
    <t xml:space="preserve">Mar/Apr 2026</t>
  </si>
  <si>
    <t xml:space="preserve">MDI</t>
  </si>
  <si>
    <t xml:space="preserve">NATIONAL AUTO SPEA DD</t>
  </si>
  <si>
    <t xml:space="preserve">ABGI</t>
  </si>
  <si>
    <t xml:space="preserve">N2 ELECTRICAL</t>
  </si>
  <si>
    <t xml:space="preserve">BAMBU</t>
  </si>
  <si>
    <t xml:space="preserve">ORAL B</t>
  </si>
  <si>
    <t xml:space="preserve">MICHAEL FARRELLY</t>
  </si>
  <si>
    <t xml:space="preserve">DES FARRELLY</t>
  </si>
  <si>
    <t xml:space="preserve">DF269 DF273 DF266</t>
  </si>
  <si>
    <t xml:space="preserve">DF238/DF259</t>
  </si>
  <si>
    <t xml:space="preserve">REVVAT</t>
  </si>
  <si>
    <t xml:space="preserve">REVENUE COMMI</t>
  </si>
  <si>
    <t xml:space="preserve">MICHAEL HARTE</t>
  </si>
  <si>
    <t xml:space="preserve">M LIMITED 26040</t>
  </si>
  <si>
    <t xml:space="preserve">DC AUTOMATED</t>
  </si>
  <si>
    <t xml:space="preserve">AVIVA</t>
  </si>
  <si>
    <t xml:space="preserve">ECOPLEX</t>
  </si>
  <si>
    <t xml:space="preserve">GRAND HO</t>
  </si>
  <si>
    <t xml:space="preserve">AVIVA L + SEPA DD</t>
  </si>
  <si>
    <t xml:space="preserve">IRISH LIFE</t>
  </si>
  <si>
    <t xml:space="preserve">DELL</t>
  </si>
  <si>
    <t xml:space="preserve">MACHINE BUIL</t>
  </si>
  <si>
    <t xml:space="preserve">ONLINE 2114902</t>
  </si>
  <si>
    <t xml:space="preserve">May/Jun 2026</t>
  </si>
  <si>
    <t xml:space="preserve">TESCO</t>
  </si>
  <si>
    <t xml:space="preserve">512121000242312026 SP</t>
  </si>
  <si>
    <t xml:space="preserve">screw fix</t>
  </si>
  <si>
    <t xml:space="preserve">irish life sepa</t>
  </si>
  <si>
    <t xml:space="preserve">Aviva L + P SEPA DD</t>
  </si>
  <si>
    <t xml:space="preserve">google</t>
  </si>
  <si>
    <t xml:space="preserve">National Auto Sepa DD</t>
  </si>
  <si>
    <t xml:space="preserve">Demence</t>
  </si>
  <si>
    <t xml:space="preserve">M LIMITED</t>
  </si>
  <si>
    <t xml:space="preserve">TRADE ELEC</t>
  </si>
  <si>
    <t xml:space="preserve">OUTLOOK ACCOU</t>
  </si>
  <si>
    <t xml:space="preserve">MISU</t>
  </si>
  <si>
    <t xml:space="preserve">DAVE EGAN</t>
  </si>
  <si>
    <t xml:space="preserve">QMC IP</t>
  </si>
  <si>
    <t xml:space="preserve">AMAZON</t>
  </si>
  <si>
    <t xml:space="preserve">PAYPAL TRAD</t>
  </si>
  <si>
    <t xml:space="preserve">PAYPAL SARD</t>
  </si>
  <si>
    <t xml:space="preserve">REVEUNUE COMMIE</t>
  </si>
  <si>
    <t xml:space="preserve">QUANTUM</t>
  </si>
  <si>
    <t xml:space="preserve">PAYPAL MCAF</t>
  </si>
  <si>
    <t xml:space="preserve">AIG</t>
  </si>
  <si>
    <t xml:space="preserve">DF274</t>
  </si>
  <si>
    <t xml:space="preserve">NEPOSCHGUSD</t>
  </si>
  <si>
    <t xml:space="preserve">P0806US 1124@0.86835</t>
  </si>
  <si>
    <t xml:space="preserve">ATC AUTOMATION</t>
  </si>
  <si>
    <t xml:space="preserve">HANLEY AUTOMATION</t>
  </si>
  <si>
    <t xml:space="preserve">IKEA</t>
  </si>
  <si>
    <t xml:space="preserve">Jul/Aug 2026</t>
  </si>
  <si>
    <t xml:space="preserve">Irish Life SEPA DD</t>
  </si>
  <si>
    <t xml:space="preserve">AVIVA L + P SEPA DD</t>
  </si>
  <si>
    <t xml:space="preserve">National Auto SEPA DD</t>
  </si>
  <si>
    <t xml:space="preserve">google works</t>
  </si>
  <si>
    <t xml:space="preserve">machine buil</t>
  </si>
  <si>
    <t xml:space="preserve">bambu lab</t>
  </si>
  <si>
    <t xml:space="preserve">baldoyle ski</t>
  </si>
  <si>
    <t xml:space="preserve">hodson bay</t>
  </si>
  <si>
    <t xml:space="preserve">paypal book</t>
  </si>
  <si>
    <t xml:space="preserve">companies re</t>
  </si>
  <si>
    <t xml:space="preserve">eflow</t>
  </si>
  <si>
    <t xml:space="preserve">insight</t>
  </si>
  <si>
    <t xml:space="preserve">dc automated</t>
  </si>
  <si>
    <t xml:space="preserve">revenue commi SEPA DD</t>
  </si>
  <si>
    <t xml:space="preserve">ecoplex</t>
  </si>
  <si>
    <t xml:space="preserve">radionics</t>
  </si>
  <si>
    <t xml:space="preserve">m limited 26073 sp</t>
  </si>
  <si>
    <t xml:space="preserve">ebay</t>
  </si>
  <si>
    <t xml:space="preserve">ali express</t>
  </si>
  <si>
    <t xml:space="preserve">paypal sira</t>
  </si>
  <si>
    <t xml:space="preserve">5.12121000248442e+17</t>
  </si>
  <si>
    <t xml:space="preserve">misu</t>
  </si>
  <si>
    <t xml:space="preserve">ppgf</t>
  </si>
  <si>
    <t xml:space="preserve">paypal unit</t>
  </si>
  <si>
    <t xml:space="preserve">amazon</t>
  </si>
  <si>
    <t xml:space="preserve">0000062704Acct wit SP</t>
  </si>
  <si>
    <t xml:space="preserve">(unlabeled bank item)</t>
  </si>
  <si>
    <t xml:space="preserve">Unlabeled / Uncategorised Item</t>
  </si>
  <si>
    <t xml:space="preserve">Source: 'BANK RECORDS' tab, 2026 columns (AM:BH). Two embedded subtotal/checksum rows and one duplicated block of May/Jun entries (rows 109-123 of that tab) were excluded to avoid double-counting; each period's totals were verified against the tab's own running bank balance. 6 late-August items (net EUR 1,341.07) had no vendor label in the source and could not be matched to a recurring pattern, so they sit in 'Unlabeled / Uncategorised Item'.</t>
  </si>
  <si>
    <t xml:space="preserve"> </t>
  </si>
  <si>
    <t xml:space="preserve">JAN/FEB</t>
  </si>
  <si>
    <t xml:space="preserve">MAR/APR</t>
  </si>
  <si>
    <t xml:space="preserve">MAY/JUNE</t>
  </si>
  <si>
    <t xml:space="preserve">JULY/AUG</t>
  </si>
  <si>
    <t xml:space="preserve">SEP/OCT</t>
  </si>
  <si>
    <t xml:space="preserve">NOV/DEC</t>
  </si>
  <si>
    <t xml:space="preserve">MAY/JUN</t>
  </si>
  <si>
    <t xml:space="preserve">JUL/AUG</t>
  </si>
  <si>
    <t xml:space="preserve">vendor</t>
  </si>
  <si>
    <t xml:space="preserve">in </t>
  </si>
  <si>
    <t xml:space="preserve">out</t>
  </si>
  <si>
    <t xml:space="preserve">total</t>
  </si>
  <si>
    <t xml:space="preserve">transfer des</t>
  </si>
  <si>
    <t xml:space="preserve">googlegsuit</t>
  </si>
  <si>
    <t xml:space="preserve">gsuit</t>
  </si>
  <si>
    <t xml:space="preserve">SIXT</t>
  </si>
  <si>
    <t xml:space="preserve">mcdonalds</t>
  </si>
  <si>
    <t xml:space="preserve">GSUIT</t>
  </si>
  <si>
    <t xml:space="preserve">EXPERT BE</t>
  </si>
  <si>
    <t xml:space="preserve">INSIGHT ACCOUNT IP</t>
  </si>
  <si>
    <t xml:space="preserve">online 21149402</t>
  </si>
  <si>
    <t xml:space="preserve">temu</t>
  </si>
  <si>
    <t xml:space="preserve">savoury </t>
  </si>
  <si>
    <t xml:space="preserve">HENKEL</t>
  </si>
  <si>
    <t xml:space="preserve">National Auto SEPA DD </t>
  </si>
  <si>
    <t xml:space="preserve">365 insight</t>
  </si>
  <si>
    <t xml:space="preserve">DC AUTOMATION</t>
  </si>
  <si>
    <t xml:space="preserve">BPX</t>
  </si>
  <si>
    <t xml:space="preserve">ROBOTUNI</t>
  </si>
  <si>
    <t xml:space="preserve">demense elec</t>
  </si>
  <si>
    <t xml:space="preserve">FLYNN SIGNS </t>
  </si>
  <si>
    <t xml:space="preserve">CIRCLE K </t>
  </si>
  <si>
    <t xml:space="preserve">BAMBU LAB</t>
  </si>
  <si>
    <t xml:space="preserve">L limited</t>
  </si>
  <si>
    <t xml:space="preserve">BPX elect</t>
  </si>
  <si>
    <t xml:space="preserve">paypal temu</t>
  </si>
  <si>
    <t xml:space="preserve">LIDL</t>
  </si>
  <si>
    <t xml:space="preserve">HOME APPLIANCE</t>
  </si>
  <si>
    <t xml:space="preserve">365 online 21149402</t>
  </si>
  <si>
    <t xml:space="preserve">sequence</t>
  </si>
  <si>
    <t xml:space="preserve">TEMU</t>
  </si>
  <si>
    <t xml:space="preserve">TRAN FARRELLY</t>
  </si>
  <si>
    <t xml:space="preserve">SAVOURY</t>
  </si>
  <si>
    <t xml:space="preserve">revenue sepa</t>
  </si>
  <si>
    <t xml:space="preserve">marwan fa gp</t>
  </si>
  <si>
    <t xml:space="preserve">N2 ELECTRICA</t>
  </si>
  <si>
    <t xml:space="preserve">TRAN MICHAEL </t>
  </si>
  <si>
    <t xml:space="preserve">FEB</t>
  </si>
  <si>
    <t xml:space="preserve">Machine buill</t>
  </si>
  <si>
    <t xml:space="preserve">marwan </t>
  </si>
  <si>
    <t xml:space="preserve">EBAY</t>
  </si>
  <si>
    <t xml:space="preserve">paypal book </t>
  </si>
  <si>
    <t xml:space="preserve">paypal alip</t>
  </si>
  <si>
    <t xml:space="preserve">DEMESNE ELEC</t>
  </si>
  <si>
    <t xml:space="preserve">companies re </t>
  </si>
  <si>
    <t xml:space="preserve">paypal bell</t>
  </si>
  <si>
    <t xml:space="preserve">ntron</t>
  </si>
  <si>
    <t xml:space="preserve">NTRON LIM</t>
  </si>
  <si>
    <t xml:space="preserve">GRANGE BUIL</t>
  </si>
  <si>
    <t xml:space="preserve">CREA (MICKS GARAGE)</t>
  </si>
  <si>
    <t xml:space="preserve">flowcon</t>
  </si>
  <si>
    <t xml:space="preserve">the dublin p</t>
  </si>
  <si>
    <t xml:space="preserve">ALS</t>
  </si>
  <si>
    <t xml:space="preserve">IFM elec</t>
  </si>
  <si>
    <t xml:space="preserve">Paypal bamb</t>
  </si>
  <si>
    <t xml:space="preserve">IFM ELECT</t>
  </si>
  <si>
    <t xml:space="preserve">TOM CAMPB</t>
  </si>
  <si>
    <t xml:space="preserve">watson m</t>
  </si>
  <si>
    <t xml:space="preserve">ntron </t>
  </si>
  <si>
    <t xml:space="preserve">demense ele</t>
  </si>
  <si>
    <t xml:space="preserve">BIBUS UK</t>
  </si>
  <si>
    <t xml:space="preserve">bpx elect</t>
  </si>
  <si>
    <t xml:space="preserve">tom camp</t>
  </si>
  <si>
    <t xml:space="preserve">hygiene solu</t>
  </si>
  <si>
    <t xml:space="preserve">BELLINGHAM C</t>
  </si>
  <si>
    <t xml:space="preserve">PAYPAL CRIS</t>
  </si>
  <si>
    <t xml:space="preserve">SIXT </t>
  </si>
  <si>
    <t xml:space="preserve">M limited 25021 SP</t>
  </si>
  <si>
    <t xml:space="preserve">paypal tran mar20</t>
  </si>
  <si>
    <t xml:space="preserve">PAYPAL BELL</t>
  </si>
  <si>
    <t xml:space="preserve">HYGIENE SOLUTIONS </t>
  </si>
  <si>
    <t xml:space="preserve">ATC </t>
  </si>
  <si>
    <t xml:space="preserve">Insight </t>
  </si>
  <si>
    <t xml:space="preserve">PAYPAL BAMB</t>
  </si>
  <si>
    <t xml:space="preserve">M LIMITED 25091 SP (DF211)</t>
  </si>
  <si>
    <t xml:space="preserve">Bibus </t>
  </si>
  <si>
    <t xml:space="preserve">HYRAQUIP </t>
  </si>
  <si>
    <t xml:space="preserve">REVEUNUE COMMI</t>
  </si>
  <si>
    <t xml:space="preserve">DF238/DF259 </t>
  </si>
  <si>
    <t xml:space="preserve">hydraquip</t>
  </si>
  <si>
    <t xml:space="preserve">WATSON M</t>
  </si>
  <si>
    <t xml:space="preserve">IRRITEC LTD</t>
  </si>
  <si>
    <t xml:space="preserve">19mar paypal alip</t>
  </si>
  <si>
    <t xml:space="preserve">misumi</t>
  </si>
  <si>
    <t xml:space="preserve">CLU</t>
  </si>
  <si>
    <t xml:space="preserve">N2</t>
  </si>
  <si>
    <t xml:space="preserve">DEC</t>
  </si>
  <si>
    <t xml:space="preserve">rev commi sepa</t>
  </si>
  <si>
    <t xml:space="preserve">PAYPAL UNIT</t>
  </si>
  <si>
    <t xml:space="preserve">paypal parc</t>
  </si>
  <si>
    <t xml:space="preserve">27mar paypal alip</t>
  </si>
  <si>
    <t xml:space="preserve">HARVEY NORMA</t>
  </si>
  <si>
    <t xml:space="preserve">DCU FEES</t>
  </si>
  <si>
    <t xml:space="preserve">APR</t>
  </si>
  <si>
    <t xml:space="preserve">mainscourt elec</t>
  </si>
  <si>
    <t xml:space="preserve">woodies</t>
  </si>
  <si>
    <t xml:space="preserve">APPLEGREEN</t>
  </si>
  <si>
    <t xml:space="preserve">DES WAGES</t>
  </si>
  <si>
    <t xml:space="preserve">MICHAEL HARTE </t>
  </si>
  <si>
    <t xml:space="preserve">screwfix</t>
  </si>
  <si>
    <t xml:space="preserve">DHL</t>
  </si>
  <si>
    <t xml:space="preserve">JAN</t>
  </si>
  <si>
    <t xml:space="preserve">robotuni</t>
  </si>
  <si>
    <t xml:space="preserve">ALU</t>
  </si>
  <si>
    <t xml:space="preserve">M LIMITED </t>
  </si>
  <si>
    <t xml:space="preserve">5121210002324482025 SP</t>
  </si>
  <si>
    <t xml:space="preserve">REV VAT</t>
  </si>
  <si>
    <t xml:space="preserve">VERN</t>
  </si>
  <si>
    <t xml:space="preserve">savoury</t>
  </si>
  <si>
    <t xml:space="preserve">BAXTERSTORE</t>
  </si>
  <si>
    <t xml:space="preserve">HERTZ</t>
  </si>
  <si>
    <t xml:space="preserve">m limited 25052</t>
  </si>
  <si>
    <t xml:space="preserve">DC automation</t>
  </si>
  <si>
    <t xml:space="preserve">REVENUE COMMI SEPA DD</t>
  </si>
  <si>
    <t xml:space="preserve">ONLINE INSIGHT </t>
  </si>
  <si>
    <t xml:space="preserve">DF244 DF245 DF246 DF261</t>
  </si>
  <si>
    <t xml:space="preserve">AVIVA </t>
  </si>
  <si>
    <t xml:space="preserve">MISU </t>
  </si>
  <si>
    <t xml:space="preserve">paypal bambu</t>
  </si>
  <si>
    <t xml:space="preserve">DAVE EGA</t>
  </si>
  <si>
    <t xml:space="preserve">M LIMITED 25092 SP (DF243)</t>
  </si>
  <si>
    <t xml:space="preserve">JUNE</t>
  </si>
  <si>
    <t xml:space="preserve">DF 204</t>
  </si>
  <si>
    <t xml:space="preserve">FINGAL CH</t>
  </si>
  <si>
    <t xml:space="preserve">MUSGRAVES</t>
  </si>
  <si>
    <t xml:space="preserve">City Electri</t>
  </si>
  <si>
    <t xml:space="preserve">512121000220472025 SP</t>
  </si>
  <si>
    <t xml:space="preserve">15041 sp </t>
  </si>
  <si>
    <t xml:space="preserve">ebay </t>
  </si>
  <si>
    <t xml:space="preserve">paypal cris</t>
  </si>
  <si>
    <t xml:space="preserve">AUG</t>
  </si>
  <si>
    <t xml:space="preserve">OCT</t>
  </si>
  <si>
    <t xml:space="preserve">512121000228202025 SP ( DF230 231 235)</t>
  </si>
  <si>
    <t xml:space="preserve">paypal unit </t>
  </si>
  <si>
    <t xml:space="preserve">M LIMITED 25100 SP (DF229 40%)</t>
  </si>
  <si>
    <t xml:space="preserve">hyraquip</t>
  </si>
  <si>
    <t xml:space="preserve">vinny byrne</t>
  </si>
  <si>
    <t xml:space="preserve">PAYPAL FEDE</t>
  </si>
  <si>
    <t xml:space="preserve">ONLINE INSIGHT</t>
  </si>
  <si>
    <t xml:space="preserve">MARWAN</t>
  </si>
  <si>
    <t xml:space="preserve">MARW CHRG</t>
  </si>
  <si>
    <t xml:space="preserve">lidl</t>
  </si>
  <si>
    <t xml:space="preserve">m limited ireland </t>
  </si>
  <si>
    <t xml:space="preserve">baxterstore</t>
  </si>
  <si>
    <t xml:space="preserve">paypal tran</t>
  </si>
  <si>
    <t xml:space="preserve">FLOWCON</t>
  </si>
  <si>
    <t xml:space="preserve">M LIMITED 25081 </t>
  </si>
  <si>
    <t xml:space="preserve">DF 225</t>
  </si>
  <si>
    <t xml:space="preserve">QUANTUM3 ALU</t>
  </si>
  <si>
    <t xml:space="preserve">AIG </t>
  </si>
  <si>
    <t xml:space="preserve">SIXT RENT BO</t>
  </si>
  <si>
    <t xml:space="preserve">NEPOSCHGUSD </t>
  </si>
  <si>
    <t xml:space="preserve">DF233</t>
  </si>
  <si>
    <t xml:space="preserve">paypal ppgf</t>
  </si>
  <si>
    <t xml:space="preserve">KEN KILL </t>
  </si>
  <si>
    <t xml:space="preserve">FINGAL CHAMBER</t>
  </si>
  <si>
    <t xml:space="preserve">commi sepa</t>
  </si>
  <si>
    <t xml:space="preserve">fingal chamb</t>
  </si>
  <si>
    <t xml:space="preserve">HANLEY AUTOMATION </t>
  </si>
  <si>
    <t xml:space="preserve">PAYPAL TEMU</t>
  </si>
  <si>
    <t xml:space="preserve">DF237</t>
  </si>
  <si>
    <t xml:space="preserve">ATC AUTO </t>
  </si>
  <si>
    <t xml:space="preserve">MAY/JUN 26</t>
  </si>
  <si>
    <t xml:space="preserve">mar/apr</t>
  </si>
  <si>
    <t xml:space="preserve">MAY / JUNE</t>
  </si>
  <si>
    <t xml:space="preserve">NOV/DEC 2025</t>
  </si>
  <si>
    <t xml:space="preserve">physical</t>
  </si>
  <si>
    <t xml:space="preserve">missing invoice</t>
  </si>
  <si>
    <t xml:space="preserve">status</t>
  </si>
  <si>
    <t xml:space="preserve">www</t>
  </si>
  <si>
    <t xml:space="preserve">y</t>
  </si>
  <si>
    <t xml:space="preserve">Y</t>
  </si>
  <si>
    <t xml:space="preserve">add in next vat return</t>
  </si>
  <si>
    <t xml:space="preserve">yy</t>
  </si>
  <si>
    <t xml:space="preserve">pysical</t>
  </si>
  <si>
    <t xml:space="preserve">ask dad</t>
  </si>
  <si>
    <t xml:space="preserve">cant find </t>
  </si>
  <si>
    <t xml:space="preserve">X</t>
  </si>
  <si>
    <t xml:space="preserve">x</t>
  </si>
  <si>
    <t xml:space="preserve">20/07/2026</t>
  </si>
  <si>
    <t xml:space="preserve">CHECK PHYICAL </t>
  </si>
  <si>
    <t xml:space="preserve">cant find</t>
  </si>
  <si>
    <t xml:space="preserve">check physical</t>
  </si>
  <si>
    <t xml:space="preserve">add on next vat return </t>
  </si>
  <si>
    <t xml:space="preserve">29/07/2026</t>
  </si>
  <si>
    <t xml:space="preserve">2 drawdowns, </t>
  </si>
  <si>
    <t xml:space="preserve">zz</t>
  </si>
  <si>
    <t xml:space="preserve">500 COFFEE MACHINE LOG</t>
  </si>
  <si>
    <t xml:space="preserve">JULY AUG </t>
  </si>
  <si>
    <t xml:space="preserve">idk</t>
  </si>
  <si>
    <t xml:space="preserve">check physical </t>
  </si>
  <si>
    <t xml:space="preserve">csnt find</t>
  </si>
  <si>
    <t xml:space="preserve">add next vat return </t>
  </si>
  <si>
    <t xml:space="preserve">CANT FIND</t>
  </si>
  <si>
    <t xml:space="preserve">do w/henkel website </t>
  </si>
  <si>
    <t xml:space="preserve">include in next vat </t>
  </si>
  <si>
    <t xml:space="preserve">carpel bones remember </t>
  </si>
  <si>
    <t xml:space="preserve">ask d</t>
  </si>
  <si>
    <t xml:space="preserve">?</t>
  </si>
  <si>
    <t xml:space="preserve">CHECL TO SEE IF CAN </t>
  </si>
  <si>
    <t xml:space="preserve">n/a</t>
  </si>
  <si>
    <t xml:space="preserve">P&amp;L 2026</t>
  </si>
  <si>
    <t xml:space="preserve">.</t>
  </si>
  <si>
    <t xml:space="preserve"> </t>
  </si>
  <si>
    <t xml:space="preserve">ACCURALS</t>
  </si>
  <si>
    <t xml:space="preserve">Total</t>
  </si>
  <si>
    <t xml:space="preserve">                     -  </t>
  </si>
  <si>
    <t xml:space="preserve">Mapaex</t>
  </si>
  <si>
    <t xml:space="preserve">Oxymem</t>
  </si>
  <si>
    <t xml:space="preserve">Rubix</t>
  </si>
  <si>
    <t xml:space="preserve">Henkel</t>
  </si>
  <si>
    <t xml:space="preserve">Marwan</t>
  </si>
  <si>
    <t xml:space="preserve">Sixt</t>
  </si>
  <si>
    <t xml:space="preserve">Machine Buil</t>
  </si>
  <si>
    <t xml:space="preserve">Total Net Revenue</t>
  </si>
  <si>
    <t xml:space="preserve">                 -  </t>
  </si>
  <si>
    <t xml:space="preserve">                   -  </t>
  </si>
  <si>
    <t xml:space="preserve"> Jan 26 </t>
  </si>
  <si>
    <t xml:space="preserve"> Feb 26 </t>
  </si>
  <si>
    <t xml:space="preserve"> Mar 26 </t>
  </si>
  <si>
    <t xml:space="preserve"> Apr 26 </t>
  </si>
  <si>
    <t xml:space="preserve"> May 26 </t>
  </si>
  <si>
    <t xml:space="preserve"> Jun 26 </t>
  </si>
  <si>
    <t xml:space="preserve"> Jul 26 </t>
  </si>
  <si>
    <t xml:space="preserve"> Aug 26 </t>
  </si>
  <si>
    <t xml:space="preserve"> Sep 26 </t>
  </si>
  <si>
    <t xml:space="preserve"> Oct 26 </t>
  </si>
  <si>
    <t xml:space="preserve"> Nov 26 </t>
  </si>
  <si>
    <t xml:space="preserve"> Dec 26 </t>
  </si>
  <si>
    <t xml:space="preserve"> Column1 </t>
  </si>
  <si>
    <t xml:space="preserve"> Total </t>
  </si>
  <si>
    <t xml:space="preserve">DC Automation</t>
  </si>
  <si>
    <t xml:space="preserve">Flowcon</t>
  </si>
  <si>
    <t xml:space="preserve">Hydraquip</t>
  </si>
  <si>
    <t xml:space="preserve">Radionics</t>
  </si>
  <si>
    <t xml:space="preserve">Sequence Control Systems Limited</t>
  </si>
  <si>
    <t xml:space="preserve">Mainscourt Electreical Supplies</t>
  </si>
  <si>
    <t xml:space="preserve">City Electrical Factors </t>
  </si>
  <si>
    <t xml:space="preserve">Hygiene Solutions</t>
  </si>
  <si>
    <t xml:space="preserve">Ntron</t>
  </si>
  <si>
    <t xml:space="preserve">Demense Electrical </t>
  </si>
  <si>
    <t xml:space="preserve">Dublin Plywood &amp; Veneer</t>
  </si>
  <si>
    <t xml:space="preserve">IFM</t>
  </si>
  <si>
    <t xml:space="preserve">Bibus</t>
  </si>
  <si>
    <t xml:space="preserve">MBS</t>
  </si>
  <si>
    <t xml:space="preserve">Vinny byrne</t>
  </si>
  <si>
    <t xml:space="preserve">Watson Marlow</t>
  </si>
  <si>
    <t xml:space="preserve">N2 Eletrical </t>
  </si>
  <si>
    <t xml:space="preserve">Ascential</t>
  </si>
  <si>
    <t xml:space="preserve">Quantum Aluminium </t>
  </si>
  <si>
    <t xml:space="preserve">Irritec LTD</t>
  </si>
  <si>
    <t xml:space="preserve">Expert bearing </t>
  </si>
  <si>
    <t xml:space="preserve">Grange Builder Providers</t>
  </si>
  <si>
    <t xml:space="preserve">Harvey Norman</t>
  </si>
  <si>
    <t xml:space="preserve">Oral B</t>
  </si>
  <si>
    <t xml:space="preserve">Flynn Signs (DMF Stickers)</t>
  </si>
  <si>
    <t xml:space="preserve">Woodies</t>
  </si>
  <si>
    <t xml:space="preserve">Screwfix</t>
  </si>
  <si>
    <t xml:space="preserve">Fingal chamb</t>
  </si>
  <si>
    <t xml:space="preserve">Home Appliance</t>
  </si>
  <si>
    <t xml:space="preserve">Crea (micks garage)</t>
  </si>
  <si>
    <t xml:space="preserve">VENDOR SUBTOTAL</t>
  </si>
  <si>
    <t xml:space="preserve">TME</t>
  </si>
  <si>
    <t xml:space="preserve">Bambu Lab</t>
  </si>
  <si>
    <t xml:space="preserve">BOLA</t>
  </si>
  <si>
    <t xml:space="preserve">Temu </t>
  </si>
  <si>
    <t xml:space="preserve">Ali Express</t>
  </si>
  <si>
    <t xml:space="preserve">Bell Flow Systems</t>
  </si>
  <si>
    <t xml:space="preserve">Misumi</t>
  </si>
  <si>
    <t xml:space="preserve">vern</t>
  </si>
  <si>
    <t xml:space="preserve">Ebay</t>
  </si>
  <si>
    <t xml:space="preserve">NON IRE VENDOR SUBTOTAL</t>
  </si>
  <si>
    <t xml:space="preserve">                      -  </t>
  </si>
  <si>
    <t xml:space="preserve">Paypal Parc</t>
  </si>
  <si>
    <t xml:space="preserve">Paypal Unit </t>
  </si>
  <si>
    <t xml:space="preserve">Paypal Sanh</t>
  </si>
  <si>
    <t xml:space="preserve">Paypal Transaction </t>
  </si>
  <si>
    <t xml:space="preserve">MISCELLANEOUS EXP</t>
  </si>
  <si>
    <t xml:space="preserve">Fedex</t>
  </si>
  <si>
    <t xml:space="preserve">Hertz</t>
  </si>
  <si>
    <t xml:space="preserve">DELIVERY &amp; VEHICLE RENT </t>
  </si>
  <si>
    <t xml:space="preserve">                       -  </t>
  </si>
  <si>
    <t xml:space="preserve">TOTAL COGS</t>
  </si>
  <si>
    <t xml:space="preserve">GROSS PROFIT</t>
  </si>
  <si>
    <t xml:space="preserve">Des wages</t>
  </si>
  <si>
    <t xml:space="preserve">Tom Camp meyo</t>
  </si>
  <si>
    <t xml:space="preserve">Dave Egan</t>
  </si>
  <si>
    <t xml:space="preserve">Michael wages</t>
  </si>
  <si>
    <t xml:space="preserve">Michael Hart</t>
  </si>
  <si>
    <t xml:space="preserve">Ken </t>
  </si>
  <si>
    <t xml:space="preserve">Accountant </t>
  </si>
  <si>
    <t xml:space="preserve">WAGES &amp; PERSONS</t>
  </si>
  <si>
    <t xml:space="preserve">bellingham c (hotel holiday)</t>
  </si>
  <si>
    <t xml:space="preserve">paypal cris (fishing)</t>
  </si>
  <si>
    <t xml:space="preserve">mahine buill</t>
  </si>
  <si>
    <t xml:space="preserve">hotel bookings</t>
  </si>
  <si>
    <t xml:space="preserve">Apple</t>
  </si>
  <si>
    <t xml:space="preserve">Fishing flights</t>
  </si>
  <si>
    <t xml:space="preserve">clu</t>
  </si>
  <si>
    <t xml:space="preserve">Savoury Fare </t>
  </si>
  <si>
    <t xml:space="preserve">Baxterstore</t>
  </si>
  <si>
    <t xml:space="preserve">Lidl</t>
  </si>
  <si>
    <t xml:space="preserve">Yacht</t>
  </si>
  <si>
    <t xml:space="preserve">Musgraves</t>
  </si>
  <si>
    <t xml:space="preserve">Tesco</t>
  </si>
  <si>
    <t xml:space="preserve">Mcdonalds</t>
  </si>
  <si>
    <t xml:space="preserve">FOOD EXP</t>
  </si>
  <si>
    <t xml:space="preserve">Applegreen </t>
  </si>
  <si>
    <t xml:space="preserve">Circle k</t>
  </si>
  <si>
    <t xml:space="preserve">FUEL EXP</t>
  </si>
  <si>
    <t xml:space="preserve">VEHICLE RENT </t>
  </si>
  <si>
    <t xml:space="preserve">Google Workspace</t>
  </si>
  <si>
    <t xml:space="preserve">DCU fees</t>
  </si>
  <si>
    <t xml:space="preserve">Eflow</t>
  </si>
  <si>
    <t xml:space="preserve">Aviva</t>
  </si>
  <si>
    <t xml:space="preserve">Irish life</t>
  </si>
  <si>
    <t xml:space="preserve">Ecoplex</t>
  </si>
  <si>
    <t xml:space="preserve">Clevercard </t>
  </si>
  <si>
    <t xml:space="preserve">National Auto SEPA</t>
  </si>
  <si>
    <t xml:space="preserve">Auto Desk SEPA</t>
  </si>
  <si>
    <t xml:space="preserve">Revenue SEPA</t>
  </si>
  <si>
    <t xml:space="preserve">OTHER EXPENSES</t>
  </si>
  <si>
    <t xml:space="preserve">TOTAL EXPENSES</t>
  </si>
  <si>
    <t xml:space="preserve">Net Earnings</t>
  </si>
  <si>
    <t xml:space="preserve">D</t>
  </si>
  <si>
    <t xml:space="preserve">Balance Sheet 2026</t>
  </si>
  <si>
    <t xml:space="preserve">Assets</t>
  </si>
  <si>
    <t xml:space="preserve">Current assets:</t>
  </si>
  <si>
    <t xml:space="preserve">Cash</t>
  </si>
  <si>
    <t xml:space="preserve">VAT recievable</t>
  </si>
  <si>
    <t xml:space="preserve">debtors</t>
  </si>
  <si>
    <t xml:space="preserve">Prepaid expenses</t>
  </si>
  <si>
    <t xml:space="preserve">Inventory</t>
  </si>
  <si>
    <t xml:space="preserve">Total current assets</t>
  </si>
  <si>
    <t xml:space="preserve">Property &amp; Equipment</t>
  </si>
  <si>
    <t xml:space="preserve">Goodwill</t>
  </si>
  <si>
    <t xml:space="preserve">Total Assets</t>
  </si>
  <si>
    <t xml:space="preserve">Liabilities</t>
  </si>
  <si>
    <t xml:space="preserve">Current liabilities:</t>
  </si>
  <si>
    <t xml:space="preserve">Accounts Payable</t>
  </si>
  <si>
    <t xml:space="preserve">Accrued expenses</t>
  </si>
  <si>
    <t xml:space="preserve">qwd</t>
  </si>
  <si>
    <t xml:space="preserve">VAT PAYABLE</t>
  </si>
  <si>
    <t xml:space="preserve">Unearned revenue</t>
  </si>
  <si>
    <t xml:space="preserve">Total current liabilities</t>
  </si>
  <si>
    <t xml:space="preserve">Long-term debt</t>
  </si>
  <si>
    <t xml:space="preserve">Other long-term liabilities</t>
  </si>
  <si>
    <t xml:space="preserve">Total Liabilities</t>
  </si>
  <si>
    <t xml:space="preserve">Shareholder's Equity</t>
  </si>
  <si>
    <t xml:space="preserve">Equity Capital</t>
  </si>
  <si>
    <t xml:space="preserve">dqw</t>
  </si>
  <si>
    <t xml:space="preserve">Retained Earnings</t>
  </si>
  <si>
    <t xml:space="preserve">Total Liabilities &amp; Shareholder's Equity</t>
  </si>
  <si>
    <t xml:space="preserve">  -    </t>
  </si>
  <si>
    <t xml:space="preserve">Column2</t>
  </si>
  <si>
    <t xml:space="preserve">Column3</t>
  </si>
  <si>
    <t xml:space="preserve">Column4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</si>
</sst>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(#,##0\);\-"/>
    <numFmt numFmtId="166" formatCode="#,##0.00;\(#,##0.00\)"/>
    <numFmt numFmtId="167" formatCode="#,##0.00"/>
    <numFmt numFmtId="168" formatCode="m/d/yyyy"/>
    <numFmt numFmtId="169" formatCode="d\-mmm"/>
    <numFmt numFmtId="170" formatCode="#,##0"/>
  </numFmts>
  <fonts count="39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8"/>
      <name val="Arial"/>
      <family val="2"/>
      <charset val="1"/>
    </font>
    <font>
      <b val="true"/>
      <sz val="20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sz val="8"/>
      <color rgb="FF000000"/>
      <name val="Arial"/>
      <family val="2"/>
      <charset val="1"/>
    </font>
    <font>
      <i val="true"/>
      <sz val="12"/>
      <color rgb="FF000000"/>
      <name val="Arial"/>
      <family val="2"/>
      <charset val="1"/>
    </font>
    <font>
      <sz val="8"/>
      <color rgb="FFC0504D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2"/>
      <color rgb="FF00B050"/>
      <name val="Arial"/>
      <family val="2"/>
      <charset val="1"/>
    </font>
    <font>
      <b val="true"/>
      <sz val="12"/>
      <color rgb="FFFF0000"/>
      <name val="Arial"/>
      <family val="2"/>
      <charset val="1"/>
    </font>
    <font>
      <sz val="8"/>
      <color rgb="FF9BBB59"/>
      <name val="Arial"/>
      <family val="2"/>
      <charset val="1"/>
    </font>
    <font>
      <b val="true"/>
      <sz val="8"/>
      <color rgb="FF000000"/>
      <name val="Arial"/>
      <family val="2"/>
      <charset val="1"/>
    </font>
    <font>
      <b val="true"/>
      <sz val="11"/>
      <color rgb="FF00B050"/>
      <name val="Arial"/>
      <family val="2"/>
      <charset val="1"/>
    </font>
    <font>
      <b val="true"/>
      <sz val="11"/>
      <color rgb="FFFF0000"/>
      <name val="Arial"/>
      <family val="2"/>
      <charset val="1"/>
    </font>
    <font>
      <b val="true"/>
      <i val="true"/>
      <sz val="12"/>
      <color rgb="FF000000"/>
      <name val="Arial"/>
      <family val="2"/>
      <charset val="1"/>
    </font>
    <font>
      <b val="true"/>
      <sz val="8"/>
      <name val="Arial"/>
      <family val="2"/>
      <charset val="1"/>
    </font>
    <font>
      <b val="true"/>
      <sz val="8"/>
      <name val="Times New Roman"/>
      <family val="1"/>
      <charset val="1"/>
    </font>
    <font>
      <b val="true"/>
      <sz val="8"/>
      <color rgb="FF000000"/>
      <name val="Times New Roman"/>
      <family val="1"/>
      <charset val="1"/>
    </font>
    <font>
      <b val="true"/>
      <sz val="14"/>
      <color rgb="FF404040"/>
      <name val="Arial"/>
      <family val="2"/>
      <charset val="1"/>
    </font>
    <font>
      <sz val="8"/>
      <color rgb="FFFFFFFF"/>
      <name val="Arial"/>
      <family val="2"/>
      <charset val="1"/>
    </font>
    <font>
      <b val="true"/>
      <sz val="8"/>
      <color rgb="FFFFFFFF"/>
      <name val="Arial"/>
      <family val="2"/>
      <charset val="1"/>
    </font>
    <font>
      <sz val="8"/>
      <color rgb="FFFF0000"/>
      <name val="Arial"/>
      <family val="2"/>
      <charset val="1"/>
    </font>
    <font>
      <sz val="8"/>
      <color rgb="FFBFBFBF"/>
      <name val="Arial"/>
      <family val="2"/>
      <charset val="1"/>
    </font>
    <font>
      <b val="true"/>
      <sz val="10"/>
      <color rgb="FFFF0000"/>
      <name val="Open Sans"/>
      <family val="2"/>
      <charset val="1"/>
    </font>
    <font>
      <sz val="8"/>
      <color rgb="FF8DB4E2"/>
      <name val="Arial"/>
      <family val="2"/>
      <charset val="1"/>
    </font>
    <font>
      <sz val="8"/>
      <color rgb="FF000000"/>
      <name val="Arial (Body)"/>
      <family val="0"/>
      <charset val="1"/>
    </font>
    <font>
      <b val="true"/>
      <sz val="10"/>
      <color rgb="FFF79646"/>
      <name val="Open Sans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EBF1DE"/>
      </patternFill>
    </fill>
    <fill>
      <patternFill patternType="solid">
        <fgColor rgb="FFFCE4D6"/>
        <bgColor rgb="FFEEECE1"/>
      </patternFill>
    </fill>
    <fill>
      <patternFill patternType="solid">
        <fgColor rgb="FFA6A6A6"/>
        <bgColor rgb="FF909090"/>
      </patternFill>
    </fill>
    <fill>
      <patternFill patternType="solid">
        <fgColor rgb="FF9BBB59"/>
        <bgColor rgb="FFA6A6A6"/>
      </patternFill>
    </fill>
    <fill>
      <patternFill patternType="solid">
        <fgColor rgb="FFEBF1DE"/>
        <bgColor rgb="FFEEECE1"/>
      </patternFill>
    </fill>
    <fill>
      <patternFill patternType="solid">
        <fgColor rgb="FFEEECE1"/>
        <bgColor rgb="FFEBF1DE"/>
      </patternFill>
    </fill>
    <fill>
      <patternFill patternType="solid">
        <fgColor rgb="FFBFBFBF"/>
        <bgColor rgb="FFC4D79B"/>
      </patternFill>
    </fill>
    <fill>
      <patternFill patternType="solid">
        <fgColor rgb="FFFFFFFF"/>
        <bgColor rgb="FFF2F2F2"/>
      </patternFill>
    </fill>
    <fill>
      <patternFill patternType="solid">
        <fgColor rgb="FFC0504D"/>
        <bgColor rgb="FF993366"/>
      </patternFill>
    </fill>
    <fill>
      <patternFill patternType="solid">
        <fgColor rgb="FFFABF8F"/>
        <bgColor rgb="FFC4D79B"/>
      </patternFill>
    </fill>
    <fill>
      <patternFill patternType="solid">
        <fgColor rgb="FF808080"/>
        <bgColor rgb="FF909090"/>
      </patternFill>
    </fill>
    <fill>
      <patternFill patternType="solid">
        <fgColor rgb="FF909090"/>
        <bgColor rgb="FF808080"/>
      </patternFill>
    </fill>
    <fill>
      <patternFill patternType="solid">
        <fgColor rgb="FFF2F2F2"/>
        <bgColor rgb="FFEEECE1"/>
      </patternFill>
    </fill>
  </fills>
  <borders count="27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>
        <color rgb="FFC4D79B"/>
      </left>
      <right/>
      <top style="thin">
        <color rgb="FFC4D79B"/>
      </top>
      <bottom style="thin">
        <color rgb="FFC4D79B"/>
      </bottom>
      <diagonal/>
    </border>
    <border diagonalUp="false" diagonalDown="false">
      <left/>
      <right/>
      <top style="thin">
        <color rgb="FFC4D79B"/>
      </top>
      <bottom style="thin">
        <color rgb="FFC4D79B"/>
      </bottom>
      <diagonal/>
    </border>
    <border diagonalUp="false" diagonalDown="false">
      <left/>
      <right style="thin">
        <color rgb="FFC4D79B"/>
      </right>
      <top style="thin">
        <color rgb="FFC4D79B"/>
      </top>
      <bottom style="thin">
        <color rgb="FFC4D79B"/>
      </bottom>
      <diagonal/>
    </border>
    <border diagonalUp="false" diagonalDown="false">
      <left style="thin">
        <color rgb="FFC4D79B"/>
      </left>
      <right/>
      <top/>
      <bottom style="thin">
        <color rgb="FFC4D79B"/>
      </bottom>
      <diagonal/>
    </border>
    <border diagonalUp="false" diagonalDown="false">
      <left/>
      <right/>
      <top/>
      <bottom style="thin">
        <color rgb="FFC4D79B"/>
      </bottom>
      <diagonal/>
    </border>
    <border diagonalUp="false" diagonalDown="false">
      <left/>
      <right style="thin">
        <color rgb="FFC4D79B"/>
      </right>
      <top/>
      <bottom style="thin">
        <color rgb="FFC4D79B"/>
      </bottom>
      <diagonal/>
    </border>
    <border diagonalUp="false" diagonalDown="false">
      <left style="thin">
        <color rgb="FFC4D79B"/>
      </left>
      <right/>
      <top style="thin">
        <color rgb="FFC4D79B"/>
      </top>
      <bottom style="thin"/>
      <diagonal/>
    </border>
    <border diagonalUp="false" diagonalDown="false">
      <left/>
      <right/>
      <top style="thin">
        <color rgb="FFC4D79B"/>
      </top>
      <bottom style="thin"/>
      <diagonal/>
    </border>
    <border diagonalUp="false" diagonalDown="false">
      <left/>
      <right style="thin">
        <color rgb="FFC4D79B"/>
      </right>
      <top style="thin">
        <color rgb="FFC4D79B"/>
      </top>
      <bottom style="thin"/>
      <diagonal/>
    </border>
    <border diagonalUp="false" diagonalDown="false">
      <left style="thin">
        <color rgb="FFC4D79B"/>
      </left>
      <right/>
      <top style="double">
        <color rgb="FF9BBB59"/>
      </top>
      <bottom style="thin">
        <color rgb="FFC4D79B"/>
      </bottom>
      <diagonal/>
    </border>
    <border diagonalUp="false" diagonalDown="false">
      <left/>
      <right/>
      <top style="double">
        <color rgb="FF9BBB59"/>
      </top>
      <bottom style="thin">
        <color rgb="FFC4D79B"/>
      </bottom>
      <diagonal/>
    </border>
    <border diagonalUp="false" diagonalDown="false">
      <left/>
      <right style="thin">
        <color rgb="FFC4D79B"/>
      </right>
      <top style="double">
        <color rgb="FF9BBB59"/>
      </top>
      <bottom style="thin">
        <color rgb="FFC4D79B"/>
      </bottom>
      <diagonal/>
    </border>
    <border diagonalUp="false" diagonalDown="false">
      <left style="thin">
        <color rgb="FFC4D79B"/>
      </left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>
        <color rgb="FFC4D79B"/>
      </top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>
        <color rgb="FFC4D79B"/>
      </top>
      <bottom style="thin">
        <color rgb="FFC4D79B"/>
      </bottom>
      <diagonal/>
    </border>
    <border diagonalUp="false" diagonalDown="false">
      <left style="thin"/>
      <right style="thin"/>
      <top style="thin"/>
      <bottom style="thin">
        <color rgb="FFC4D79B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8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8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9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9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8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8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8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9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8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9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9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8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8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8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9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8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8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4" fillId="1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5" fillId="1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1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1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6" fillId="9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4" fillId="1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5" fillId="1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9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12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5" fillId="1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8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8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8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5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1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8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14" borderId="1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32" fillId="14" borderId="1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1" fillId="14" borderId="1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1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15" borderId="1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3" fillId="0" borderId="1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3" fillId="16" borderId="1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15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3" fillId="16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15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16" borderId="1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3" fillId="16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7" fillId="11" borderId="1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4" fillId="15" borderId="1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33" fillId="16" borderId="1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33" fillId="16" borderId="2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7" fillId="0" borderId="2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2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1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5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6" borderId="1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33" fillId="16" borderId="2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11" borderId="1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1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6" fillId="0" borderId="1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15" borderId="2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27" fillId="16" borderId="1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7" fillId="16" borderId="1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27" fillId="16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37" fillId="0" borderId="1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7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7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7" fillId="0" borderId="1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37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16" borderId="2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15" fillId="0" borderId="1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15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5" borderId="2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27" fillId="16" borderId="2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27" fillId="16" borderId="2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8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2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2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0" fontId="11" fillId="16" borderId="1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0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11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2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11" fillId="16" borderId="1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3" fillId="16" borderId="2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3" fillId="0" borderId="2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0" fontId="27" fillId="16" borderId="1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7" fillId="16" borderId="2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0" fontId="27" fillId="16" borderId="2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7" fillId="16" borderId="2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3" fillId="0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0" fontId="11" fillId="16" borderId="2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16" borderId="2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0" fontId="11" fillId="16" borderId="2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0" fontId="27" fillId="16" borderId="22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A6A6A6"/>
      <rgbColor rgb="FFC0504D"/>
      <rgbColor rgb="FFEBF1DE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CE1"/>
      <rgbColor rgb="FFE2EFDA"/>
      <rgbColor rgb="FFFCE4D6"/>
      <rgbColor rgb="FF8DB4E2"/>
      <rgbColor rgb="FFFF99CC"/>
      <rgbColor rgb="FFC4D79B"/>
      <rgbColor rgb="FFFABF8F"/>
      <rgbColor rgb="FF3366FF"/>
      <rgbColor rgb="FF33CCCC"/>
      <rgbColor rgb="FF9BBB59"/>
      <rgbColor rgb="FFFFCC00"/>
      <rgbColor rgb="FFF79646"/>
      <rgbColor rgb="FFFF6600"/>
      <rgbColor rgb="FF595959"/>
      <rgbColor rgb="FF909090"/>
      <rgbColor rgb="FF003366"/>
      <rgbColor rgb="FF00B050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7" min="3" style="0" width="16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27.75" hidden="false" customHeight="true" outlineLevel="0" collapsed="false">
      <c r="B4" s="3" t="s">
        <v>2</v>
      </c>
      <c r="C4" s="3"/>
      <c r="D4" s="3"/>
      <c r="E4" s="3"/>
      <c r="F4" s="3"/>
      <c r="G4" s="3"/>
    </row>
    <row r="6" customFormat="false" ht="15" hidden="false" customHeight="false" outlineLevel="0" collapsed="false"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</row>
    <row r="7" customFormat="false" ht="15" hidden="false" customHeight="false" outlineLevel="0" collapsed="false">
      <c r="B7" s="5" t="s">
        <v>9</v>
      </c>
      <c r="C7" s="6"/>
      <c r="D7" s="6"/>
      <c r="E7" s="6"/>
      <c r="F7" s="6"/>
      <c r="G7" s="6"/>
    </row>
    <row r="8" customFormat="false" ht="15" hidden="false" customHeight="false" outlineLevel="0" collapsed="false">
      <c r="B8" s="7" t="s">
        <v>10</v>
      </c>
      <c r="C8" s="8" t="n">
        <f aca="false">SUMIFS('2026 Bank Transactions'!$D$2:$D$223,'2026 Bank Transactions'!$A$2:$A$223,"Jan/Feb 2026",'2026 Bank Transactions'!$F$2:$F$223,"Sales Revenue")-SUMIFS('2026 Bank Transactions'!$E$2:$E$223,'2026 Bank Transactions'!$A$2:$A$223,"Jan/Feb 2026",'2026 Bank Transactions'!$F$2:$F$223,"Sales Revenue")</f>
        <v>5031.93</v>
      </c>
      <c r="D8" s="8" t="n">
        <f aca="false">SUMIFS('2026 Bank Transactions'!$D$2:$D$223,'2026 Bank Transactions'!$A$2:$A$223,"Mar/Apr 2026",'2026 Bank Transactions'!$F$2:$F$223,"Sales Revenue")-SUMIFS('2026 Bank Transactions'!$E$2:$E$223,'2026 Bank Transactions'!$A$2:$A$223,"Mar/Apr 2026",'2026 Bank Transactions'!$F$2:$F$223,"Sales Revenue")</f>
        <v>38246.34</v>
      </c>
      <c r="E8" s="8" t="n">
        <f aca="false">SUMIFS('2026 Bank Transactions'!$D$2:$D$223,'2026 Bank Transactions'!$A$2:$A$223,"May/Jun 2026",'2026 Bank Transactions'!$F$2:$F$223,"Sales Revenue")-SUMIFS('2026 Bank Transactions'!$E$2:$E$223,'2026 Bank Transactions'!$A$2:$A$223,"May/Jun 2026",'2026 Bank Transactions'!$F$2:$F$223,"Sales Revenue")</f>
        <v>40115.49</v>
      </c>
      <c r="F8" s="8" t="n">
        <f aca="false">SUMIFS('2026 Bank Transactions'!$D$2:$D$223,'2026 Bank Transactions'!$A$2:$A$223,"Jul/Aug 2026",'2026 Bank Transactions'!$F$2:$F$223,"Sales Revenue")-SUMIFS('2026 Bank Transactions'!$E$2:$E$223,'2026 Bank Transactions'!$A$2:$A$223,"Jul/Aug 2026",'2026 Bank Transactions'!$F$2:$F$223,"Sales Revenue")</f>
        <v>70005.9</v>
      </c>
      <c r="G8" s="8" t="n">
        <f aca="false">SUM(C8:F8)</f>
        <v>153399.66</v>
      </c>
    </row>
    <row r="9" customFormat="false" ht="15" hidden="false" customHeight="false" outlineLevel="0" collapsed="false">
      <c r="B9" s="7" t="s">
        <v>11</v>
      </c>
      <c r="C9" s="8" t="n">
        <f aca="false">SUMIFS('2026 Bank Transactions'!$D$2:$D$223,'2026 Bank Transactions'!$A$2:$A$223,"Jan/Feb 2026",'2026 Bank Transactions'!$F$2:$F$223,"VAT Refund")-SUMIFS('2026 Bank Transactions'!$E$2:$E$223,'2026 Bank Transactions'!$A$2:$A$223,"Jan/Feb 2026",'2026 Bank Transactions'!$F$2:$F$223,"VAT Refund")</f>
        <v>0</v>
      </c>
      <c r="D9" s="8" t="n">
        <f aca="false">SUMIFS('2026 Bank Transactions'!$D$2:$D$223,'2026 Bank Transactions'!$A$2:$A$223,"Mar/Apr 2026",'2026 Bank Transactions'!$F$2:$F$223,"VAT Refund")-SUMIFS('2026 Bank Transactions'!$E$2:$E$223,'2026 Bank Transactions'!$A$2:$A$223,"Mar/Apr 2026",'2026 Bank Transactions'!$F$2:$F$223,"VAT Refund")</f>
        <v>886</v>
      </c>
      <c r="E9" s="8" t="n">
        <f aca="false">SUMIFS('2026 Bank Transactions'!$D$2:$D$223,'2026 Bank Transactions'!$A$2:$A$223,"May/Jun 2026",'2026 Bank Transactions'!$F$2:$F$223,"VAT Refund")-SUMIFS('2026 Bank Transactions'!$E$2:$E$223,'2026 Bank Transactions'!$A$2:$A$223,"May/Jun 2026",'2026 Bank Transactions'!$F$2:$F$223,"VAT Refund")</f>
        <v>0</v>
      </c>
      <c r="F9" s="8" t="n">
        <f aca="false">SUMIFS('2026 Bank Transactions'!$D$2:$D$223,'2026 Bank Transactions'!$A$2:$A$223,"Jul/Aug 2026",'2026 Bank Transactions'!$F$2:$F$223,"VAT Refund")-SUMIFS('2026 Bank Transactions'!$E$2:$E$223,'2026 Bank Transactions'!$A$2:$A$223,"Jul/Aug 2026",'2026 Bank Transactions'!$F$2:$F$223,"VAT Refund")</f>
        <v>0</v>
      </c>
      <c r="G9" s="8" t="n">
        <f aca="false">SUM(C9:F9)</f>
        <v>886</v>
      </c>
    </row>
    <row r="10" customFormat="false" ht="15" hidden="false" customHeight="false" outlineLevel="0" collapsed="false">
      <c r="B10" s="9" t="s">
        <v>12</v>
      </c>
      <c r="C10" s="10" t="n">
        <f aca="false">SUM(C8:C9)</f>
        <v>5031.93</v>
      </c>
      <c r="D10" s="10" t="n">
        <f aca="false">SUM(D8:D9)</f>
        <v>39132.34</v>
      </c>
      <c r="E10" s="10" t="n">
        <f aca="false">SUM(E8:E9)</f>
        <v>40115.49</v>
      </c>
      <c r="F10" s="10" t="n">
        <f aca="false">SUM(F8:F9)</f>
        <v>70005.9</v>
      </c>
      <c r="G10" s="10" t="n">
        <f aca="false">SUM(C10:F10)</f>
        <v>154285.66</v>
      </c>
    </row>
    <row r="12" customFormat="false" ht="15" hidden="false" customHeight="false" outlineLevel="0" collapsed="false">
      <c r="B12" s="5" t="s">
        <v>13</v>
      </c>
      <c r="C12" s="6"/>
      <c r="D12" s="6"/>
      <c r="E12" s="6"/>
      <c r="F12" s="6"/>
      <c r="G12" s="6"/>
    </row>
    <row r="13" customFormat="false" ht="15" hidden="false" customHeight="false" outlineLevel="0" collapsed="false">
      <c r="B13" s="7" t="s">
        <v>14</v>
      </c>
      <c r="C13" s="8" t="n">
        <f aca="false">SUMIFS('2026 Bank Transactions'!$D$2:$D$223,'2026 Bank Transactions'!$A$2:$A$223,"Jan/Feb 2026",'2026 Bank Transactions'!$F$2:$F$223,"Automation Subcontractors &amp; Suppliers")-SUMIFS('2026 Bank Transactions'!$E$2:$E$223,'2026 Bank Transactions'!$A$2:$A$223,"Jan/Feb 2026",'2026 Bank Transactions'!$F$2:$F$223,"Automation Subcontractors &amp; Suppliers")</f>
        <v>-7272.64</v>
      </c>
      <c r="D13" s="8" t="n">
        <f aca="false">SUMIFS('2026 Bank Transactions'!$D$2:$D$223,'2026 Bank Transactions'!$A$2:$A$223,"Mar/Apr 2026",'2026 Bank Transactions'!$F$2:$F$223,"Automation Subcontractors &amp; Suppliers")-SUMIFS('2026 Bank Transactions'!$E$2:$E$223,'2026 Bank Transactions'!$A$2:$A$223,"Mar/Apr 2026",'2026 Bank Transactions'!$F$2:$F$223,"Automation Subcontractors &amp; Suppliers")</f>
        <v>-14432.13</v>
      </c>
      <c r="E13" s="8" t="n">
        <f aca="false">SUMIFS('2026 Bank Transactions'!$D$2:$D$223,'2026 Bank Transactions'!$A$2:$A$223,"May/Jun 2026",'2026 Bank Transactions'!$F$2:$F$223,"Automation Subcontractors &amp; Suppliers")-SUMIFS('2026 Bank Transactions'!$E$2:$E$223,'2026 Bank Transactions'!$A$2:$A$223,"May/Jun 2026",'2026 Bank Transactions'!$F$2:$F$223,"Automation Subcontractors &amp; Suppliers")</f>
        <v>-11049.24</v>
      </c>
      <c r="F13" s="8" t="n">
        <f aca="false">SUMIFS('2026 Bank Transactions'!$D$2:$D$223,'2026 Bank Transactions'!$A$2:$A$223,"Jul/Aug 2026",'2026 Bank Transactions'!$F$2:$F$223,"Automation Subcontractors &amp; Suppliers")-SUMIFS('2026 Bank Transactions'!$E$2:$E$223,'2026 Bank Transactions'!$A$2:$A$223,"Jul/Aug 2026",'2026 Bank Transactions'!$F$2:$F$223,"Automation Subcontractors &amp; Suppliers")</f>
        <v>-2887.27</v>
      </c>
      <c r="G13" s="8" t="n">
        <f aca="false">SUM(C13:F13)</f>
        <v>-35641.28</v>
      </c>
    </row>
    <row r="14" customFormat="false" ht="15" hidden="false" customHeight="false" outlineLevel="0" collapsed="false">
      <c r="B14" s="7" t="s">
        <v>15</v>
      </c>
      <c r="C14" s="8" t="n">
        <f aca="false">SUMIFS('2026 Bank Transactions'!$D$2:$D$223,'2026 Bank Transactions'!$A$2:$A$223,"Jan/Feb 2026",'2026 Bank Transactions'!$F$2:$F$223,"Materials &amp; Components")-SUMIFS('2026 Bank Transactions'!$E$2:$E$223,'2026 Bank Transactions'!$A$2:$A$223,"Jan/Feb 2026",'2026 Bank Transactions'!$F$2:$F$223,"Materials &amp; Components")</f>
        <v>-1258.92</v>
      </c>
      <c r="D14" s="8" t="n">
        <f aca="false">SUMIFS('2026 Bank Transactions'!$D$2:$D$223,'2026 Bank Transactions'!$A$2:$A$223,"Mar/Apr 2026",'2026 Bank Transactions'!$F$2:$F$223,"Materials &amp; Components")-SUMIFS('2026 Bank Transactions'!$E$2:$E$223,'2026 Bank Transactions'!$A$2:$A$223,"Mar/Apr 2026",'2026 Bank Transactions'!$F$2:$F$223,"Materials &amp; Components")</f>
        <v>-4076.96</v>
      </c>
      <c r="E14" s="8" t="n">
        <f aca="false">SUMIFS('2026 Bank Transactions'!$D$2:$D$223,'2026 Bank Transactions'!$A$2:$A$223,"May/Jun 2026",'2026 Bank Transactions'!$F$2:$F$223,"Materials &amp; Components")-SUMIFS('2026 Bank Transactions'!$E$2:$E$223,'2026 Bank Transactions'!$A$2:$A$223,"May/Jun 2026",'2026 Bank Transactions'!$F$2:$F$223,"Materials &amp; Components")</f>
        <v>-2031.1</v>
      </c>
      <c r="F14" s="8" t="n">
        <f aca="false">SUMIFS('2026 Bank Transactions'!$D$2:$D$223,'2026 Bank Transactions'!$A$2:$A$223,"Jul/Aug 2026",'2026 Bank Transactions'!$F$2:$F$223,"Materials &amp; Components")-SUMIFS('2026 Bank Transactions'!$E$2:$E$223,'2026 Bank Transactions'!$A$2:$A$223,"Jul/Aug 2026",'2026 Bank Transactions'!$F$2:$F$223,"Materials &amp; Components")</f>
        <v>-542.73</v>
      </c>
      <c r="G14" s="8" t="n">
        <f aca="false">SUM(C14:F14)</f>
        <v>-7909.71</v>
      </c>
    </row>
    <row r="15" customFormat="false" ht="15" hidden="false" customHeight="false" outlineLevel="0" collapsed="false">
      <c r="B15" s="9" t="s">
        <v>16</v>
      </c>
      <c r="C15" s="10" t="n">
        <f aca="false">SUM(C13:C14)</f>
        <v>-8531.56</v>
      </c>
      <c r="D15" s="10" t="n">
        <f aca="false">SUM(D13:D14)</f>
        <v>-18509.09</v>
      </c>
      <c r="E15" s="10" t="n">
        <f aca="false">SUM(E13:E14)</f>
        <v>-13080.34</v>
      </c>
      <c r="F15" s="10" t="n">
        <f aca="false">SUM(F13:F14)</f>
        <v>-3430</v>
      </c>
      <c r="G15" s="10" t="n">
        <f aca="false">SUM(C15:F15)</f>
        <v>-43550.99</v>
      </c>
    </row>
    <row r="17" customFormat="false" ht="15" hidden="false" customHeight="false" outlineLevel="0" collapsed="false">
      <c r="B17" s="11" t="s">
        <v>17</v>
      </c>
      <c r="C17" s="12" t="n">
        <f aca="false">C10+C15</f>
        <v>-3499.63</v>
      </c>
      <c r="D17" s="12" t="n">
        <f aca="false">D10+D15</f>
        <v>20623.25</v>
      </c>
      <c r="E17" s="12" t="n">
        <f aca="false">E10+E15</f>
        <v>27035.15</v>
      </c>
      <c r="F17" s="12" t="n">
        <f aca="false">F10+F15</f>
        <v>66575.9</v>
      </c>
      <c r="G17" s="12" t="n">
        <f aca="false">SUM(C17:F17)</f>
        <v>110734.67</v>
      </c>
    </row>
    <row r="19" customFormat="false" ht="15" hidden="false" customHeight="false" outlineLevel="0" collapsed="false">
      <c r="B19" s="5" t="s">
        <v>18</v>
      </c>
      <c r="C19" s="6"/>
      <c r="D19" s="6"/>
      <c r="E19" s="6"/>
      <c r="F19" s="6"/>
      <c r="G19" s="6"/>
    </row>
    <row r="20" customFormat="false" ht="15" hidden="false" customHeight="false" outlineLevel="0" collapsed="false">
      <c r="B20" s="7" t="s">
        <v>19</v>
      </c>
      <c r="C20" s="8" t="n">
        <f aca="false">SUMIFS('2026 Bank Transactions'!$D$2:$D$223,'2026 Bank Transactions'!$A$2:$A$223,"Jan/Feb 2026",'2026 Bank Transactions'!$F$2:$F$223,"Software &amp; IT Subscriptions")-SUMIFS('2026 Bank Transactions'!$E$2:$E$223,'2026 Bank Transactions'!$A$2:$A$223,"Jan/Feb 2026",'2026 Bank Transactions'!$F$2:$F$223,"Software &amp; IT Subscriptions")</f>
        <v>-4623.57</v>
      </c>
      <c r="D20" s="8" t="n">
        <f aca="false">SUMIFS('2026 Bank Transactions'!$D$2:$D$223,'2026 Bank Transactions'!$A$2:$A$223,"Mar/Apr 2026",'2026 Bank Transactions'!$F$2:$F$223,"Software &amp; IT Subscriptions")-SUMIFS('2026 Bank Transactions'!$E$2:$E$223,'2026 Bank Transactions'!$A$2:$A$223,"Mar/Apr 2026",'2026 Bank Transactions'!$F$2:$F$223,"Software &amp; IT Subscriptions")</f>
        <v>-511.92</v>
      </c>
      <c r="E20" s="8" t="n">
        <f aca="false">SUMIFS('2026 Bank Transactions'!$D$2:$D$223,'2026 Bank Transactions'!$A$2:$A$223,"May/Jun 2026",'2026 Bank Transactions'!$F$2:$F$223,"Software &amp; IT Subscriptions")-SUMIFS('2026 Bank Transactions'!$E$2:$E$223,'2026 Bank Transactions'!$A$2:$A$223,"May/Jun 2026",'2026 Bank Transactions'!$F$2:$F$223,"Software &amp; IT Subscriptions")</f>
        <v>-3091.27</v>
      </c>
      <c r="F20" s="8" t="n">
        <f aca="false">SUMIFS('2026 Bank Transactions'!$D$2:$D$223,'2026 Bank Transactions'!$A$2:$A$223,"Jul/Aug 2026",'2026 Bank Transactions'!$F$2:$F$223,"Software &amp; IT Subscriptions")-SUMIFS('2026 Bank Transactions'!$E$2:$E$223,'2026 Bank Transactions'!$A$2:$A$223,"Jul/Aug 2026",'2026 Bank Transactions'!$F$2:$F$223,"Software &amp; IT Subscriptions")</f>
        <v>-521.88</v>
      </c>
      <c r="G20" s="8" t="n">
        <f aca="false">SUM(C20:F20)</f>
        <v>-8748.64</v>
      </c>
    </row>
    <row r="21" customFormat="false" ht="15" hidden="false" customHeight="false" outlineLevel="0" collapsed="false">
      <c r="B21" s="7" t="s">
        <v>20</v>
      </c>
      <c r="C21" s="8" t="n">
        <f aca="false">SUMIFS('2026 Bank Transactions'!$D$2:$D$223,'2026 Bank Transactions'!$A$2:$A$223,"Jan/Feb 2026",'2026 Bank Transactions'!$F$2:$F$223,"Insurance")-SUMIFS('2026 Bank Transactions'!$E$2:$E$223,'2026 Bank Transactions'!$A$2:$A$223,"Jan/Feb 2026",'2026 Bank Transactions'!$F$2:$F$223,"Insurance")</f>
        <v>-1350</v>
      </c>
      <c r="D21" s="8" t="n">
        <f aca="false">SUMIFS('2026 Bank Transactions'!$D$2:$D$223,'2026 Bank Transactions'!$A$2:$A$223,"Mar/Apr 2026",'2026 Bank Transactions'!$F$2:$F$223,"Insurance")-SUMIFS('2026 Bank Transactions'!$E$2:$E$223,'2026 Bank Transactions'!$A$2:$A$223,"Mar/Apr 2026",'2026 Bank Transactions'!$F$2:$F$223,"Insurance")</f>
        <v>-38500</v>
      </c>
      <c r="E21" s="8" t="n">
        <f aca="false">SUMIFS('2026 Bank Transactions'!$D$2:$D$223,'2026 Bank Transactions'!$A$2:$A$223,"May/Jun 2026",'2026 Bank Transactions'!$F$2:$F$223,"Insurance")-SUMIFS('2026 Bank Transactions'!$E$2:$E$223,'2026 Bank Transactions'!$A$2:$A$223,"May/Jun 2026",'2026 Bank Transactions'!$F$2:$F$223,"Insurance")</f>
        <v>-5089.13</v>
      </c>
      <c r="F21" s="8" t="n">
        <f aca="false">SUMIFS('2026 Bank Transactions'!$D$2:$D$223,'2026 Bank Transactions'!$A$2:$A$223,"Jul/Aug 2026",'2026 Bank Transactions'!$F$2:$F$223,"Insurance")-SUMIFS('2026 Bank Transactions'!$E$2:$E$223,'2026 Bank Transactions'!$A$2:$A$223,"Jul/Aug 2026",'2026 Bank Transactions'!$F$2:$F$223,"Insurance")</f>
        <v>-7500</v>
      </c>
      <c r="G21" s="8" t="n">
        <f aca="false">SUM(C21:F21)</f>
        <v>-52439.13</v>
      </c>
    </row>
    <row r="22" customFormat="false" ht="15" hidden="false" customHeight="false" outlineLevel="0" collapsed="false">
      <c r="B22" s="7" t="s">
        <v>21</v>
      </c>
      <c r="C22" s="8" t="n">
        <f aca="false">SUMIFS('2026 Bank Transactions'!$D$2:$D$223,'2026 Bank Transactions'!$A$2:$A$223,"Jan/Feb 2026",'2026 Bank Transactions'!$F$2:$F$223,"Payroll &amp; Directors' Remuneration")-SUMIFS('2026 Bank Transactions'!$E$2:$E$223,'2026 Bank Transactions'!$A$2:$A$223,"Jan/Feb 2026",'2026 Bank Transactions'!$F$2:$F$223,"Payroll &amp; Directors' Remuneration")</f>
        <v>-17129.34</v>
      </c>
      <c r="D22" s="8" t="n">
        <f aca="false">SUMIFS('2026 Bank Transactions'!$D$2:$D$223,'2026 Bank Transactions'!$A$2:$A$223,"Mar/Apr 2026",'2026 Bank Transactions'!$F$2:$F$223,"Payroll &amp; Directors' Remuneration")-SUMIFS('2026 Bank Transactions'!$E$2:$E$223,'2026 Bank Transactions'!$A$2:$A$223,"Mar/Apr 2026",'2026 Bank Transactions'!$F$2:$F$223,"Payroll &amp; Directors' Remuneration")</f>
        <v>-17492.47</v>
      </c>
      <c r="E22" s="8" t="n">
        <f aca="false">SUMIFS('2026 Bank Transactions'!$D$2:$D$223,'2026 Bank Transactions'!$A$2:$A$223,"May/Jun 2026",'2026 Bank Transactions'!$F$2:$F$223,"Payroll &amp; Directors' Remuneration")-SUMIFS('2026 Bank Transactions'!$E$2:$E$223,'2026 Bank Transactions'!$A$2:$A$223,"May/Jun 2026",'2026 Bank Transactions'!$F$2:$F$223,"Payroll &amp; Directors' Remuneration")</f>
        <v>-8181.99</v>
      </c>
      <c r="F22" s="8" t="n">
        <f aca="false">SUMIFS('2026 Bank Transactions'!$D$2:$D$223,'2026 Bank Transactions'!$A$2:$A$223,"Jul/Aug 2026",'2026 Bank Transactions'!$F$2:$F$223,"Payroll &amp; Directors' Remuneration")-SUMIFS('2026 Bank Transactions'!$E$2:$E$223,'2026 Bank Transactions'!$A$2:$A$223,"Jul/Aug 2026",'2026 Bank Transactions'!$F$2:$F$223,"Payroll &amp; Directors' Remuneration")</f>
        <v>0</v>
      </c>
      <c r="G22" s="8" t="n">
        <f aca="false">SUM(C22:F22)</f>
        <v>-42803.8</v>
      </c>
    </row>
    <row r="23" customFormat="false" ht="15" hidden="false" customHeight="false" outlineLevel="0" collapsed="false">
      <c r="B23" s="7" t="s">
        <v>22</v>
      </c>
      <c r="C23" s="8" t="n">
        <f aca="false">SUMIFS('2026 Bank Transactions'!$D$2:$D$223,'2026 Bank Transactions'!$A$2:$A$223,"Jan/Feb 2026",'2026 Bank Transactions'!$F$2:$F$223,"Professional &amp; Statutory Fees")-SUMIFS('2026 Bank Transactions'!$E$2:$E$223,'2026 Bank Transactions'!$A$2:$A$223,"Jan/Feb 2026",'2026 Bank Transactions'!$F$2:$F$223,"Professional &amp; Statutory Fees")</f>
        <v>0</v>
      </c>
      <c r="D23" s="8" t="n">
        <f aca="false">SUMIFS('2026 Bank Transactions'!$D$2:$D$223,'2026 Bank Transactions'!$A$2:$A$223,"Mar/Apr 2026",'2026 Bank Transactions'!$F$2:$F$223,"Professional &amp; Statutory Fees")-SUMIFS('2026 Bank Transactions'!$E$2:$E$223,'2026 Bank Transactions'!$A$2:$A$223,"Mar/Apr 2026",'2026 Bank Transactions'!$F$2:$F$223,"Professional &amp; Statutory Fees")</f>
        <v>-4390</v>
      </c>
      <c r="E23" s="8" t="n">
        <f aca="false">SUMIFS('2026 Bank Transactions'!$D$2:$D$223,'2026 Bank Transactions'!$A$2:$A$223,"May/Jun 2026",'2026 Bank Transactions'!$F$2:$F$223,"Professional &amp; Statutory Fees")-SUMIFS('2026 Bank Transactions'!$E$2:$E$223,'2026 Bank Transactions'!$A$2:$A$223,"May/Jun 2026",'2026 Bank Transactions'!$F$2:$F$223,"Professional &amp; Statutory Fees")</f>
        <v>0</v>
      </c>
      <c r="F23" s="8" t="n">
        <f aca="false">SUMIFS('2026 Bank Transactions'!$D$2:$D$223,'2026 Bank Transactions'!$A$2:$A$223,"Jul/Aug 2026",'2026 Bank Transactions'!$F$2:$F$223,"Professional &amp; Statutory Fees")-SUMIFS('2026 Bank Transactions'!$E$2:$E$223,'2026 Bank Transactions'!$A$2:$A$223,"Jul/Aug 2026",'2026 Bank Transactions'!$F$2:$F$223,"Professional &amp; Statutory Fees")</f>
        <v>-20</v>
      </c>
      <c r="G23" s="8" t="n">
        <f aca="false">SUM(C23:F23)</f>
        <v>-4410</v>
      </c>
    </row>
    <row r="24" customFormat="false" ht="15" hidden="false" customHeight="false" outlineLevel="0" collapsed="false">
      <c r="B24" s="7" t="s">
        <v>23</v>
      </c>
      <c r="C24" s="8" t="n">
        <f aca="false">SUMIFS('2026 Bank Transactions'!$D$2:$D$223,'2026 Bank Transactions'!$A$2:$A$223,"Jan/Feb 2026",'2026 Bank Transactions'!$F$2:$F$223,"Travel, Subsistence &amp; Entertainment")-SUMIFS('2026 Bank Transactions'!$E$2:$E$223,'2026 Bank Transactions'!$A$2:$A$223,"Jan/Feb 2026",'2026 Bank Transactions'!$F$2:$F$223,"Travel, Subsistence &amp; Entertainment")</f>
        <v>-793.49</v>
      </c>
      <c r="D24" s="8" t="n">
        <f aca="false">SUMIFS('2026 Bank Transactions'!$D$2:$D$223,'2026 Bank Transactions'!$A$2:$A$223,"Mar/Apr 2026",'2026 Bank Transactions'!$F$2:$F$223,"Travel, Subsistence &amp; Entertainment")-SUMIFS('2026 Bank Transactions'!$E$2:$E$223,'2026 Bank Transactions'!$A$2:$A$223,"Mar/Apr 2026",'2026 Bank Transactions'!$F$2:$F$223,"Travel, Subsistence &amp; Entertainment")</f>
        <v>-343.46</v>
      </c>
      <c r="E24" s="8" t="n">
        <f aca="false">SUMIFS('2026 Bank Transactions'!$D$2:$D$223,'2026 Bank Transactions'!$A$2:$A$223,"May/Jun 2026",'2026 Bank Transactions'!$F$2:$F$223,"Travel, Subsistence &amp; Entertainment")-SUMIFS('2026 Bank Transactions'!$E$2:$E$223,'2026 Bank Transactions'!$A$2:$A$223,"May/Jun 2026",'2026 Bank Transactions'!$F$2:$F$223,"Travel, Subsistence &amp; Entertainment")</f>
        <v>-3274.86</v>
      </c>
      <c r="F24" s="8" t="n">
        <f aca="false">SUMIFS('2026 Bank Transactions'!$D$2:$D$223,'2026 Bank Transactions'!$A$2:$A$223,"Jul/Aug 2026",'2026 Bank Transactions'!$F$2:$F$223,"Travel, Subsistence &amp; Entertainment")-SUMIFS('2026 Bank Transactions'!$E$2:$E$223,'2026 Bank Transactions'!$A$2:$A$223,"Jul/Aug 2026",'2026 Bank Transactions'!$F$2:$F$223,"Travel, Subsistence &amp; Entertainment")</f>
        <v>-639.01</v>
      </c>
      <c r="G24" s="8" t="n">
        <f aca="false">SUM(C24:F24)</f>
        <v>-5050.82</v>
      </c>
    </row>
    <row r="25" customFormat="false" ht="15" hidden="false" customHeight="false" outlineLevel="0" collapsed="false">
      <c r="B25" s="7" t="s">
        <v>24</v>
      </c>
      <c r="C25" s="8" t="n">
        <f aca="false">SUMIFS('2026 Bank Transactions'!$D$2:$D$223,'2026 Bank Transactions'!$A$2:$A$223,"Jan/Feb 2026",'2026 Bank Transactions'!$F$2:$F$223,"Tax Payments (Revenue Commissioners)")-SUMIFS('2026 Bank Transactions'!$E$2:$E$223,'2026 Bank Transactions'!$A$2:$A$223,"Jan/Feb 2026",'2026 Bank Transactions'!$F$2:$F$223,"Tax Payments (Revenue Commissioners)")</f>
        <v>-16168.94</v>
      </c>
      <c r="D25" s="8" t="n">
        <f aca="false">SUMIFS('2026 Bank Transactions'!$D$2:$D$223,'2026 Bank Transactions'!$A$2:$A$223,"Mar/Apr 2026",'2026 Bank Transactions'!$F$2:$F$223,"Tax Payments (Revenue Commissioners)")-SUMIFS('2026 Bank Transactions'!$E$2:$E$223,'2026 Bank Transactions'!$A$2:$A$223,"Mar/Apr 2026",'2026 Bank Transactions'!$F$2:$F$223,"Tax Payments (Revenue Commissioners)")</f>
        <v>-1361.75</v>
      </c>
      <c r="E25" s="8" t="n">
        <f aca="false">SUMIFS('2026 Bank Transactions'!$D$2:$D$223,'2026 Bank Transactions'!$A$2:$A$223,"May/Jun 2026",'2026 Bank Transactions'!$F$2:$F$223,"Tax Payments (Revenue Commissioners)")-SUMIFS('2026 Bank Transactions'!$E$2:$E$223,'2026 Bank Transactions'!$A$2:$A$223,"May/Jun 2026",'2026 Bank Transactions'!$F$2:$F$223,"Tax Payments (Revenue Commissioners)")</f>
        <v>-3580.87</v>
      </c>
      <c r="F25" s="8" t="n">
        <f aca="false">SUMIFS('2026 Bank Transactions'!$D$2:$D$223,'2026 Bank Transactions'!$A$2:$A$223,"Jul/Aug 2026",'2026 Bank Transactions'!$F$2:$F$223,"Tax Payments (Revenue Commissioners)")-SUMIFS('2026 Bank Transactions'!$E$2:$E$223,'2026 Bank Transactions'!$A$2:$A$223,"Jul/Aug 2026",'2026 Bank Transactions'!$F$2:$F$223,"Tax Payments (Revenue Commissioners)")</f>
        <v>-6341.35</v>
      </c>
      <c r="G25" s="8" t="n">
        <f aca="false">SUM(C25:F25)</f>
        <v>-27452.91</v>
      </c>
    </row>
    <row r="26" customFormat="false" ht="15" hidden="false" customHeight="false" outlineLevel="0" collapsed="false">
      <c r="B26" s="7" t="s">
        <v>25</v>
      </c>
      <c r="C26" s="8" t="n">
        <f aca="false">SUMIFS('2026 Bank Transactions'!$D$2:$D$223,'2026 Bank Transactions'!$A$2:$A$223,"Jan/Feb 2026",'2026 Bank Transactions'!$F$2:$F$223,"Bank, Card &amp; Misc Fees")-SUMIFS('2026 Bank Transactions'!$E$2:$E$223,'2026 Bank Transactions'!$A$2:$A$223,"Jan/Feb 2026",'2026 Bank Transactions'!$F$2:$F$223,"Bank, Card &amp; Misc Fees")</f>
        <v>-1931.2</v>
      </c>
      <c r="D26" s="8" t="n">
        <f aca="false">SUMIFS('2026 Bank Transactions'!$D$2:$D$223,'2026 Bank Transactions'!$A$2:$A$223,"Mar/Apr 2026",'2026 Bank Transactions'!$F$2:$F$223,"Bank, Card &amp; Misc Fees")-SUMIFS('2026 Bank Transactions'!$E$2:$E$223,'2026 Bank Transactions'!$A$2:$A$223,"Mar/Apr 2026",'2026 Bank Transactions'!$F$2:$F$223,"Bank, Card &amp; Misc Fees")</f>
        <v>-2020.65</v>
      </c>
      <c r="E26" s="8" t="n">
        <f aca="false">SUMIFS('2026 Bank Transactions'!$D$2:$D$223,'2026 Bank Transactions'!$A$2:$A$223,"May/Jun 2026",'2026 Bank Transactions'!$F$2:$F$223,"Bank, Card &amp; Misc Fees")-SUMIFS('2026 Bank Transactions'!$E$2:$E$223,'2026 Bank Transactions'!$A$2:$A$223,"May/Jun 2026",'2026 Bank Transactions'!$F$2:$F$223,"Bank, Card &amp; Misc Fees")</f>
        <v>-1433.4</v>
      </c>
      <c r="F26" s="8" t="n">
        <f aca="false">SUMIFS('2026 Bank Transactions'!$D$2:$D$223,'2026 Bank Transactions'!$A$2:$A$223,"Jul/Aug 2026",'2026 Bank Transactions'!$F$2:$F$223,"Bank, Card &amp; Misc Fees")-SUMIFS('2026 Bank Transactions'!$E$2:$E$223,'2026 Bank Transactions'!$A$2:$A$223,"Jul/Aug 2026",'2026 Bank Transactions'!$F$2:$F$223,"Bank, Card &amp; Misc Fees")</f>
        <v>-560.88</v>
      </c>
      <c r="G26" s="8" t="n">
        <f aca="false">SUM(C26:F26)</f>
        <v>-5946.13</v>
      </c>
    </row>
    <row r="27" customFormat="false" ht="15" hidden="false" customHeight="false" outlineLevel="0" collapsed="false">
      <c r="B27" s="7" t="s">
        <v>26</v>
      </c>
      <c r="C27" s="8" t="n">
        <f aca="false">SUMIFS('2026 Bank Transactions'!$D$2:$D$223,'2026 Bank Transactions'!$A$2:$A$223,"Jan/Feb 2026",'2026 Bank Transactions'!$F$2:$F$223,"Unlabeled / Uncategorised Item")-SUMIFS('2026 Bank Transactions'!$E$2:$E$223,'2026 Bank Transactions'!$A$2:$A$223,"Jan/Feb 2026",'2026 Bank Transactions'!$F$2:$F$223,"Unlabeled / Uncategorised Item")</f>
        <v>0</v>
      </c>
      <c r="D27" s="8" t="n">
        <f aca="false">SUMIFS('2026 Bank Transactions'!$D$2:$D$223,'2026 Bank Transactions'!$A$2:$A$223,"Mar/Apr 2026",'2026 Bank Transactions'!$F$2:$F$223,"Unlabeled / Uncategorised Item")-SUMIFS('2026 Bank Transactions'!$E$2:$E$223,'2026 Bank Transactions'!$A$2:$A$223,"Mar/Apr 2026",'2026 Bank Transactions'!$F$2:$F$223,"Unlabeled / Uncategorised Item")</f>
        <v>0</v>
      </c>
      <c r="E27" s="8" t="n">
        <f aca="false">SUMIFS('2026 Bank Transactions'!$D$2:$D$223,'2026 Bank Transactions'!$A$2:$A$223,"May/Jun 2026",'2026 Bank Transactions'!$F$2:$F$223,"Unlabeled / Uncategorised Item")-SUMIFS('2026 Bank Transactions'!$E$2:$E$223,'2026 Bank Transactions'!$A$2:$A$223,"May/Jun 2026",'2026 Bank Transactions'!$F$2:$F$223,"Unlabeled / Uncategorised Item")</f>
        <v>0</v>
      </c>
      <c r="F27" s="8" t="n">
        <f aca="false">SUMIFS('2026 Bank Transactions'!$D$2:$D$223,'2026 Bank Transactions'!$A$2:$A$223,"Jul/Aug 2026",'2026 Bank Transactions'!$F$2:$F$223,"Unlabeled / Uncategorised Item")-SUMIFS('2026 Bank Transactions'!$E$2:$E$223,'2026 Bank Transactions'!$A$2:$A$223,"Jul/Aug 2026",'2026 Bank Transactions'!$F$2:$F$223,"Unlabeled / Uncategorised Item")</f>
        <v>1341.07</v>
      </c>
      <c r="G27" s="8" t="n">
        <f aca="false">SUM(C27:F27)</f>
        <v>1341.07</v>
      </c>
    </row>
    <row r="28" customFormat="false" ht="15" hidden="false" customHeight="false" outlineLevel="0" collapsed="false">
      <c r="B28" s="9" t="s">
        <v>27</v>
      </c>
      <c r="C28" s="10" t="n">
        <f aca="false">SUM(C20:C27)</f>
        <v>-41996.54</v>
      </c>
      <c r="D28" s="10" t="n">
        <f aca="false">SUM(D20:D27)</f>
        <v>-64620.25</v>
      </c>
      <c r="E28" s="10" t="n">
        <f aca="false">SUM(E20:E27)</f>
        <v>-24651.52</v>
      </c>
      <c r="F28" s="10" t="n">
        <f aca="false">SUM(F20:F27)</f>
        <v>-14242.05</v>
      </c>
      <c r="G28" s="10" t="n">
        <f aca="false">SUM(C28:F28)</f>
        <v>-145510.36</v>
      </c>
    </row>
    <row r="31" customFormat="false" ht="15" hidden="false" customHeight="false" outlineLevel="0" collapsed="false">
      <c r="B31" s="13" t="s">
        <v>28</v>
      </c>
      <c r="C31" s="14" t="n">
        <f aca="false">C17+C28</f>
        <v>-45496.17</v>
      </c>
      <c r="D31" s="14" t="n">
        <f aca="false">D17+D28</f>
        <v>-43997</v>
      </c>
      <c r="E31" s="14" t="n">
        <f aca="false">E17+E28</f>
        <v>2383.63</v>
      </c>
      <c r="F31" s="14" t="n">
        <f aca="false">F17+F28</f>
        <v>52333.85</v>
      </c>
      <c r="G31" s="14" t="n">
        <f aca="false">SUM(C31:F31)</f>
        <v>-34775.69</v>
      </c>
    </row>
  </sheetData>
  <mergeCells count="1">
    <mergeCell ref="B4:G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32"/>
    <col collapsed="false" customWidth="true" hidden="false" outlineLevel="0" max="5" min="4" style="0" width="14"/>
    <col collapsed="false" customWidth="true" hidden="false" outlineLevel="0" max="6" min="6" style="0" width="38"/>
  </cols>
  <sheetData>
    <row r="1" customFormat="false" ht="15" hidden="false" customHeight="false" outlineLevel="0" collapsed="false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</row>
    <row r="2" customFormat="false" ht="15" hidden="false" customHeight="false" outlineLevel="0" collapsed="false">
      <c r="A2" s="7" t="s">
        <v>35</v>
      </c>
      <c r="B2" s="7" t="n">
        <v>4</v>
      </c>
      <c r="C2" s="7" t="s">
        <v>36</v>
      </c>
      <c r="D2" s="15"/>
      <c r="E2" s="15" t="n">
        <v>9.96</v>
      </c>
      <c r="F2" s="7" t="s">
        <v>19</v>
      </c>
    </row>
    <row r="3" customFormat="false" ht="15" hidden="false" customHeight="false" outlineLevel="0" collapsed="false">
      <c r="A3" s="7" t="s">
        <v>35</v>
      </c>
      <c r="B3" s="7" t="n">
        <v>5</v>
      </c>
      <c r="C3" s="7" t="s">
        <v>37</v>
      </c>
      <c r="D3" s="15"/>
      <c r="E3" s="15" t="n">
        <v>3133.8</v>
      </c>
      <c r="F3" s="7" t="s">
        <v>19</v>
      </c>
    </row>
    <row r="4" customFormat="false" ht="15" hidden="false" customHeight="false" outlineLevel="0" collapsed="false">
      <c r="A4" s="7" t="s">
        <v>35</v>
      </c>
      <c r="B4" s="7" t="n">
        <v>6</v>
      </c>
      <c r="C4" s="7" t="s">
        <v>38</v>
      </c>
      <c r="D4" s="15" t="n">
        <v>3678.93</v>
      </c>
      <c r="E4" s="15"/>
      <c r="F4" s="7" t="s">
        <v>10</v>
      </c>
    </row>
    <row r="5" customFormat="false" ht="15" hidden="false" customHeight="false" outlineLevel="0" collapsed="false">
      <c r="A5" s="7" t="s">
        <v>35</v>
      </c>
      <c r="B5" s="7" t="n">
        <v>7</v>
      </c>
      <c r="C5" s="7" t="s">
        <v>39</v>
      </c>
      <c r="D5" s="15"/>
      <c r="E5" s="15" t="n">
        <v>246</v>
      </c>
      <c r="F5" s="7" t="s">
        <v>19</v>
      </c>
    </row>
    <row r="6" customFormat="false" ht="15" hidden="false" customHeight="false" outlineLevel="0" collapsed="false">
      <c r="A6" s="7" t="s">
        <v>35</v>
      </c>
      <c r="B6" s="7" t="n">
        <v>8</v>
      </c>
      <c r="C6" s="7" t="s">
        <v>40</v>
      </c>
      <c r="D6" s="15"/>
      <c r="E6" s="15" t="n">
        <v>50</v>
      </c>
      <c r="F6" s="7" t="s">
        <v>25</v>
      </c>
    </row>
    <row r="7" customFormat="false" ht="15" hidden="false" customHeight="false" outlineLevel="0" collapsed="false">
      <c r="A7" s="7" t="s">
        <v>35</v>
      </c>
      <c r="B7" s="7" t="n">
        <v>9</v>
      </c>
      <c r="C7" s="7" t="s">
        <v>40</v>
      </c>
      <c r="D7" s="15"/>
      <c r="E7" s="15" t="n">
        <v>529.56</v>
      </c>
      <c r="F7" s="7" t="s">
        <v>25</v>
      </c>
    </row>
    <row r="8" customFormat="false" ht="15" hidden="false" customHeight="false" outlineLevel="0" collapsed="false">
      <c r="A8" s="7" t="s">
        <v>35</v>
      </c>
      <c r="B8" s="7" t="n">
        <v>10</v>
      </c>
      <c r="C8" s="7" t="s">
        <v>40</v>
      </c>
      <c r="D8" s="15"/>
      <c r="E8" s="15" t="n">
        <v>529.56</v>
      </c>
      <c r="F8" s="7" t="s">
        <v>25</v>
      </c>
    </row>
    <row r="9" customFormat="false" ht="15" hidden="false" customHeight="false" outlineLevel="0" collapsed="false">
      <c r="A9" s="7" t="s">
        <v>35</v>
      </c>
      <c r="B9" s="7" t="n">
        <v>11</v>
      </c>
      <c r="C9" s="7" t="s">
        <v>40</v>
      </c>
      <c r="D9" s="15"/>
      <c r="E9" s="15" t="n">
        <v>529.56</v>
      </c>
      <c r="F9" s="7" t="s">
        <v>25</v>
      </c>
    </row>
    <row r="10" customFormat="false" ht="15" hidden="false" customHeight="false" outlineLevel="0" collapsed="false">
      <c r="A10" s="7" t="s">
        <v>35</v>
      </c>
      <c r="B10" s="7" t="n">
        <v>12</v>
      </c>
      <c r="C10" s="7" t="s">
        <v>41</v>
      </c>
      <c r="D10" s="15"/>
      <c r="E10" s="15" t="n">
        <v>1</v>
      </c>
      <c r="F10" s="7" t="s">
        <v>25</v>
      </c>
    </row>
    <row r="11" customFormat="false" ht="15" hidden="false" customHeight="false" outlineLevel="0" collapsed="false">
      <c r="A11" s="7" t="s">
        <v>35</v>
      </c>
      <c r="B11" s="7" t="n">
        <v>13</v>
      </c>
      <c r="C11" s="7" t="s">
        <v>42</v>
      </c>
      <c r="D11" s="15"/>
      <c r="E11" s="15" t="n">
        <v>83.04</v>
      </c>
      <c r="F11" s="7" t="s">
        <v>15</v>
      </c>
    </row>
    <row r="12" customFormat="false" ht="15" hidden="false" customHeight="false" outlineLevel="0" collapsed="false">
      <c r="A12" s="7" t="s">
        <v>35</v>
      </c>
      <c r="B12" s="7" t="n">
        <v>14</v>
      </c>
      <c r="C12" s="7" t="s">
        <v>43</v>
      </c>
      <c r="D12" s="15"/>
      <c r="E12" s="15" t="n">
        <v>88.65</v>
      </c>
      <c r="F12" s="7" t="s">
        <v>15</v>
      </c>
    </row>
    <row r="13" customFormat="false" ht="15" hidden="false" customHeight="false" outlineLevel="0" collapsed="false">
      <c r="A13" s="7" t="s">
        <v>35</v>
      </c>
      <c r="B13" s="7" t="n">
        <v>15</v>
      </c>
      <c r="C13" s="7" t="s">
        <v>44</v>
      </c>
      <c r="D13" s="15"/>
      <c r="E13" s="15" t="n">
        <v>1350</v>
      </c>
      <c r="F13" s="7" t="s">
        <v>20</v>
      </c>
    </row>
    <row r="14" customFormat="false" ht="15" hidden="false" customHeight="false" outlineLevel="0" collapsed="false">
      <c r="A14" s="7" t="s">
        <v>35</v>
      </c>
      <c r="B14" s="7" t="n">
        <v>16</v>
      </c>
      <c r="C14" s="7" t="s">
        <v>45</v>
      </c>
      <c r="D14" s="15"/>
      <c r="E14" s="15" t="n">
        <v>94.5</v>
      </c>
      <c r="F14" s="7" t="s">
        <v>23</v>
      </c>
    </row>
    <row r="15" customFormat="false" ht="15" hidden="false" customHeight="false" outlineLevel="0" collapsed="false">
      <c r="A15" s="7" t="s">
        <v>35</v>
      </c>
      <c r="B15" s="7" t="n">
        <v>17</v>
      </c>
      <c r="C15" s="7" t="s">
        <v>46</v>
      </c>
      <c r="D15" s="15"/>
      <c r="E15" s="15" t="n">
        <v>166.43</v>
      </c>
      <c r="F15" s="7" t="s">
        <v>23</v>
      </c>
    </row>
    <row r="16" customFormat="false" ht="15" hidden="false" customHeight="false" outlineLevel="0" collapsed="false">
      <c r="A16" s="7" t="s">
        <v>35</v>
      </c>
      <c r="B16" s="7" t="n">
        <v>18</v>
      </c>
      <c r="C16" s="7" t="s">
        <v>47</v>
      </c>
      <c r="D16" s="15" t="n">
        <v>1353</v>
      </c>
      <c r="E16" s="15"/>
      <c r="F16" s="7" t="s">
        <v>10</v>
      </c>
    </row>
    <row r="17" customFormat="false" ht="15" hidden="false" customHeight="false" outlineLevel="0" collapsed="false">
      <c r="A17" s="7" t="s">
        <v>35</v>
      </c>
      <c r="B17" s="7" t="n">
        <v>19</v>
      </c>
      <c r="C17" s="7" t="s">
        <v>48</v>
      </c>
      <c r="D17" s="15"/>
      <c r="E17" s="15" t="n">
        <v>1038</v>
      </c>
      <c r="F17" s="7" t="s">
        <v>15</v>
      </c>
    </row>
    <row r="18" customFormat="false" ht="15" hidden="false" customHeight="false" outlineLevel="0" collapsed="false">
      <c r="A18" s="7" t="s">
        <v>35</v>
      </c>
      <c r="B18" s="7" t="n">
        <v>20</v>
      </c>
      <c r="C18" s="7" t="s">
        <v>49</v>
      </c>
      <c r="D18" s="15"/>
      <c r="E18" s="15" t="n">
        <v>29.7</v>
      </c>
      <c r="F18" s="7" t="s">
        <v>23</v>
      </c>
    </row>
    <row r="19" customFormat="false" ht="15" hidden="false" customHeight="false" outlineLevel="0" collapsed="false">
      <c r="A19" s="7" t="s">
        <v>35</v>
      </c>
      <c r="B19" s="7" t="n">
        <v>21</v>
      </c>
      <c r="C19" s="7" t="s">
        <v>50</v>
      </c>
      <c r="D19" s="15"/>
      <c r="E19" s="15" t="n">
        <v>1</v>
      </c>
      <c r="F19" s="7" t="s">
        <v>25</v>
      </c>
    </row>
    <row r="20" customFormat="false" ht="15" hidden="false" customHeight="false" outlineLevel="0" collapsed="false">
      <c r="A20" s="7" t="s">
        <v>35</v>
      </c>
      <c r="B20" s="7" t="n">
        <v>22</v>
      </c>
      <c r="C20" s="7" t="s">
        <v>51</v>
      </c>
      <c r="D20" s="15"/>
      <c r="E20" s="15" t="n">
        <v>236.5</v>
      </c>
      <c r="F20" s="7" t="s">
        <v>14</v>
      </c>
    </row>
    <row r="21" customFormat="false" ht="15" hidden="false" customHeight="false" outlineLevel="0" collapsed="false">
      <c r="A21" s="7" t="s">
        <v>35</v>
      </c>
      <c r="B21" s="7" t="n">
        <v>23</v>
      </c>
      <c r="C21" s="7" t="s">
        <v>52</v>
      </c>
      <c r="D21" s="15"/>
      <c r="E21" s="15" t="n">
        <v>14367</v>
      </c>
      <c r="F21" s="7" t="s">
        <v>24</v>
      </c>
    </row>
    <row r="22" customFormat="false" ht="15" hidden="false" customHeight="false" outlineLevel="0" collapsed="false">
      <c r="A22" s="7" t="s">
        <v>35</v>
      </c>
      <c r="B22" s="7" t="n">
        <v>24</v>
      </c>
      <c r="C22" s="7" t="s">
        <v>52</v>
      </c>
      <c r="D22" s="15"/>
      <c r="E22" s="15" t="n">
        <v>1121.07</v>
      </c>
      <c r="F22" s="7" t="s">
        <v>24</v>
      </c>
    </row>
    <row r="23" customFormat="false" ht="15" hidden="false" customHeight="false" outlineLevel="0" collapsed="false">
      <c r="A23" s="7" t="s">
        <v>35</v>
      </c>
      <c r="B23" s="7" t="n">
        <v>25</v>
      </c>
      <c r="C23" s="7" t="s">
        <v>42</v>
      </c>
      <c r="D23" s="15"/>
      <c r="E23" s="15" t="n">
        <v>32.53</v>
      </c>
      <c r="F23" s="7" t="s">
        <v>15</v>
      </c>
    </row>
    <row r="24" customFormat="false" ht="15" hidden="false" customHeight="false" outlineLevel="0" collapsed="false">
      <c r="A24" s="7" t="s">
        <v>35</v>
      </c>
      <c r="B24" s="7" t="n">
        <v>26</v>
      </c>
      <c r="C24" s="7" t="s">
        <v>53</v>
      </c>
      <c r="D24" s="15"/>
      <c r="E24" s="15" t="n">
        <v>2626.36</v>
      </c>
      <c r="F24" s="7" t="s">
        <v>14</v>
      </c>
    </row>
    <row r="25" customFormat="false" ht="15" hidden="false" customHeight="false" outlineLevel="0" collapsed="false">
      <c r="A25" s="7" t="s">
        <v>35</v>
      </c>
      <c r="B25" s="7" t="n">
        <v>27</v>
      </c>
      <c r="C25" s="7" t="s">
        <v>43</v>
      </c>
      <c r="D25" s="15"/>
      <c r="E25" s="15" t="n">
        <v>16.7</v>
      </c>
      <c r="F25" s="7" t="s">
        <v>15</v>
      </c>
    </row>
    <row r="26" customFormat="false" ht="15" hidden="false" customHeight="false" outlineLevel="0" collapsed="false">
      <c r="A26" s="7" t="s">
        <v>35</v>
      </c>
      <c r="B26" s="7" t="n">
        <v>28</v>
      </c>
      <c r="C26" s="7" t="s">
        <v>39</v>
      </c>
      <c r="D26" s="15"/>
      <c r="E26" s="15" t="n">
        <v>246</v>
      </c>
      <c r="F26" s="7" t="s">
        <v>19</v>
      </c>
    </row>
    <row r="27" customFormat="false" ht="15" hidden="false" customHeight="false" outlineLevel="0" collapsed="false">
      <c r="A27" s="7" t="s">
        <v>35</v>
      </c>
      <c r="B27" s="7" t="n">
        <v>29</v>
      </c>
      <c r="C27" s="7" t="s">
        <v>54</v>
      </c>
      <c r="D27" s="15"/>
      <c r="E27" s="15" t="n">
        <v>1734.69</v>
      </c>
      <c r="F27" s="7" t="s">
        <v>14</v>
      </c>
    </row>
    <row r="28" customFormat="false" ht="15" hidden="false" customHeight="false" outlineLevel="0" collapsed="false">
      <c r="A28" s="7" t="s">
        <v>35</v>
      </c>
      <c r="B28" s="7" t="n">
        <v>30</v>
      </c>
      <c r="C28" s="7" t="s">
        <v>36</v>
      </c>
      <c r="D28" s="15"/>
      <c r="E28" s="15" t="n">
        <v>9.96</v>
      </c>
      <c r="F28" s="7" t="s">
        <v>19</v>
      </c>
    </row>
    <row r="29" customFormat="false" ht="15" hidden="false" customHeight="false" outlineLevel="0" collapsed="false">
      <c r="A29" s="7" t="s">
        <v>35</v>
      </c>
      <c r="B29" s="7" t="n">
        <v>31</v>
      </c>
      <c r="C29" s="7" t="s">
        <v>55</v>
      </c>
      <c r="D29" s="15"/>
      <c r="E29" s="15" t="n">
        <v>149.63</v>
      </c>
      <c r="F29" s="7" t="s">
        <v>23</v>
      </c>
    </row>
    <row r="30" customFormat="false" ht="15" hidden="false" customHeight="false" outlineLevel="0" collapsed="false">
      <c r="A30" s="7" t="s">
        <v>35</v>
      </c>
      <c r="B30" s="7" t="n">
        <v>32</v>
      </c>
      <c r="C30" s="7" t="s">
        <v>56</v>
      </c>
      <c r="D30" s="15"/>
      <c r="E30" s="15" t="n">
        <v>157.8</v>
      </c>
      <c r="F30" s="7" t="s">
        <v>23</v>
      </c>
    </row>
    <row r="31" customFormat="false" ht="15" hidden="false" customHeight="false" outlineLevel="0" collapsed="false">
      <c r="A31" s="7" t="s">
        <v>35</v>
      </c>
      <c r="B31" s="7" t="n">
        <v>33</v>
      </c>
      <c r="C31" s="7" t="s">
        <v>57</v>
      </c>
      <c r="D31" s="15"/>
      <c r="E31" s="15" t="n">
        <v>7.32</v>
      </c>
      <c r="F31" s="7" t="s">
        <v>14</v>
      </c>
    </row>
    <row r="32" customFormat="false" ht="15" hidden="false" customHeight="false" outlineLevel="0" collapsed="false">
      <c r="A32" s="7" t="s">
        <v>35</v>
      </c>
      <c r="B32" s="7" t="n">
        <v>34</v>
      </c>
      <c r="C32" s="7" t="s">
        <v>57</v>
      </c>
      <c r="D32" s="15"/>
      <c r="E32" s="15" t="n">
        <v>88.79</v>
      </c>
      <c r="F32" s="7" t="s">
        <v>14</v>
      </c>
    </row>
    <row r="33" customFormat="false" ht="15" hidden="false" customHeight="false" outlineLevel="0" collapsed="false">
      <c r="A33" s="7" t="s">
        <v>35</v>
      </c>
      <c r="B33" s="7" t="n">
        <v>35</v>
      </c>
      <c r="C33" s="7" t="s">
        <v>57</v>
      </c>
      <c r="D33" s="15"/>
      <c r="E33" s="15" t="n">
        <v>359.67</v>
      </c>
      <c r="F33" s="7" t="s">
        <v>14</v>
      </c>
    </row>
    <row r="34" customFormat="false" ht="15" hidden="false" customHeight="false" outlineLevel="0" collapsed="false">
      <c r="A34" s="7" t="s">
        <v>35</v>
      </c>
      <c r="B34" s="7" t="n">
        <v>36</v>
      </c>
      <c r="C34" s="7" t="s">
        <v>57</v>
      </c>
      <c r="D34" s="15"/>
      <c r="E34" s="15" t="n">
        <v>221.79</v>
      </c>
      <c r="F34" s="7" t="s">
        <v>14</v>
      </c>
    </row>
    <row r="35" customFormat="false" ht="15" hidden="false" customHeight="false" outlineLevel="0" collapsed="false">
      <c r="A35" s="7" t="s">
        <v>35</v>
      </c>
      <c r="B35" s="7" t="n">
        <v>37</v>
      </c>
      <c r="C35" s="7" t="s">
        <v>58</v>
      </c>
      <c r="D35" s="15"/>
      <c r="E35" s="15" t="n">
        <v>72.57</v>
      </c>
      <c r="F35" s="7" t="s">
        <v>14</v>
      </c>
    </row>
    <row r="36" customFormat="false" ht="15" hidden="false" customHeight="false" outlineLevel="0" collapsed="false">
      <c r="A36" s="7" t="s">
        <v>35</v>
      </c>
      <c r="B36" s="7" t="n">
        <v>38</v>
      </c>
      <c r="C36" s="7" t="s">
        <v>39</v>
      </c>
      <c r="D36" s="15"/>
      <c r="E36" s="15" t="n">
        <v>246</v>
      </c>
      <c r="F36" s="7" t="s">
        <v>19</v>
      </c>
    </row>
    <row r="37" customFormat="false" ht="15" hidden="false" customHeight="false" outlineLevel="0" collapsed="false">
      <c r="A37" s="7" t="s">
        <v>35</v>
      </c>
      <c r="B37" s="7" t="n">
        <v>39</v>
      </c>
      <c r="C37" s="7" t="s">
        <v>59</v>
      </c>
      <c r="D37" s="15"/>
      <c r="E37" s="15" t="n">
        <v>1924.95</v>
      </c>
      <c r="F37" s="7" t="s">
        <v>14</v>
      </c>
    </row>
    <row r="38" customFormat="false" ht="15" hidden="false" customHeight="false" outlineLevel="0" collapsed="false">
      <c r="A38" s="7" t="s">
        <v>35</v>
      </c>
      <c r="B38" s="7" t="n">
        <v>40</v>
      </c>
      <c r="C38" s="7" t="s">
        <v>60</v>
      </c>
      <c r="D38" s="15"/>
      <c r="E38" s="15" t="n">
        <v>81.52</v>
      </c>
      <c r="F38" s="7" t="s">
        <v>25</v>
      </c>
    </row>
    <row r="39" customFormat="false" ht="15" hidden="false" customHeight="false" outlineLevel="0" collapsed="false">
      <c r="A39" s="7" t="s">
        <v>35</v>
      </c>
      <c r="B39" s="7" t="n">
        <v>41</v>
      </c>
      <c r="C39" s="7" t="s">
        <v>61</v>
      </c>
      <c r="D39" s="15"/>
      <c r="E39" s="15" t="n">
        <v>51</v>
      </c>
      <c r="F39" s="7" t="s">
        <v>25</v>
      </c>
    </row>
    <row r="40" customFormat="false" ht="15" hidden="false" customHeight="false" outlineLevel="0" collapsed="false">
      <c r="A40" s="7" t="s">
        <v>35</v>
      </c>
      <c r="B40" s="7" t="n">
        <v>42</v>
      </c>
      <c r="C40" s="7" t="s">
        <v>62</v>
      </c>
      <c r="D40" s="15"/>
      <c r="E40" s="15" t="n">
        <v>155.43</v>
      </c>
      <c r="F40" s="7" t="s">
        <v>23</v>
      </c>
    </row>
    <row r="41" customFormat="false" ht="15" hidden="false" customHeight="false" outlineLevel="0" collapsed="false">
      <c r="A41" s="7" t="s">
        <v>35</v>
      </c>
      <c r="B41" s="7" t="n">
        <v>43</v>
      </c>
      <c r="C41" s="7" t="s">
        <v>63</v>
      </c>
      <c r="D41" s="15"/>
      <c r="E41" s="15" t="n">
        <v>1600.28</v>
      </c>
      <c r="F41" s="7" t="s">
        <v>21</v>
      </c>
    </row>
    <row r="42" customFormat="false" ht="15" hidden="false" customHeight="false" outlineLevel="0" collapsed="false">
      <c r="A42" s="7" t="s">
        <v>35</v>
      </c>
      <c r="B42" s="7" t="n">
        <v>44</v>
      </c>
      <c r="C42" s="7" t="s">
        <v>64</v>
      </c>
      <c r="D42" s="15"/>
      <c r="E42" s="15" t="n">
        <v>731.85</v>
      </c>
      <c r="F42" s="7" t="s">
        <v>19</v>
      </c>
    </row>
    <row r="43" customFormat="false" ht="15" hidden="false" customHeight="false" outlineLevel="0" collapsed="false">
      <c r="A43" s="7" t="s">
        <v>35</v>
      </c>
      <c r="B43" s="7" t="n">
        <v>45</v>
      </c>
      <c r="C43" s="7" t="s">
        <v>65</v>
      </c>
      <c r="D43" s="15"/>
      <c r="E43" s="15" t="n">
        <v>2546.35</v>
      </c>
      <c r="F43" s="7" t="s">
        <v>21</v>
      </c>
    </row>
    <row r="44" customFormat="false" ht="15" hidden="false" customHeight="false" outlineLevel="0" collapsed="false">
      <c r="A44" s="7" t="s">
        <v>35</v>
      </c>
      <c r="B44" s="7" t="n">
        <v>46</v>
      </c>
      <c r="C44" s="7" t="s">
        <v>65</v>
      </c>
      <c r="D44" s="15"/>
      <c r="E44" s="15" t="n">
        <v>2561.91</v>
      </c>
      <c r="F44" s="7" t="s">
        <v>21</v>
      </c>
    </row>
    <row r="45" customFormat="false" ht="15" hidden="false" customHeight="false" outlineLevel="0" collapsed="false">
      <c r="A45" s="7" t="s">
        <v>35</v>
      </c>
      <c r="B45" s="7" t="n">
        <v>47</v>
      </c>
      <c r="C45" s="7" t="s">
        <v>65</v>
      </c>
      <c r="D45" s="15"/>
      <c r="E45" s="15" t="n">
        <v>10420.8</v>
      </c>
      <c r="F45" s="7" t="s">
        <v>21</v>
      </c>
    </row>
    <row r="46" customFormat="false" ht="15" hidden="false" customHeight="false" outlineLevel="0" collapsed="false">
      <c r="A46" s="7" t="s">
        <v>35</v>
      </c>
      <c r="B46" s="7" t="n">
        <v>48</v>
      </c>
      <c r="C46" s="7" t="s">
        <v>52</v>
      </c>
      <c r="D46" s="15"/>
      <c r="E46" s="15" t="n">
        <v>680.87</v>
      </c>
      <c r="F46" s="7" t="s">
        <v>24</v>
      </c>
    </row>
    <row r="47" customFormat="false" ht="15" hidden="false" customHeight="false" outlineLevel="0" collapsed="false">
      <c r="A47" s="7" t="s">
        <v>35</v>
      </c>
      <c r="B47" s="7" t="n">
        <v>49</v>
      </c>
      <c r="C47" s="7" t="s">
        <v>66</v>
      </c>
      <c r="D47" s="15"/>
      <c r="E47" s="15" t="n">
        <v>1</v>
      </c>
      <c r="F47" s="7" t="s">
        <v>25</v>
      </c>
    </row>
    <row r="48" customFormat="false" ht="15" hidden="false" customHeight="false" outlineLevel="0" collapsed="false">
      <c r="A48" s="7" t="s">
        <v>35</v>
      </c>
      <c r="B48" s="7" t="n">
        <v>50</v>
      </c>
      <c r="C48" s="7" t="s">
        <v>67</v>
      </c>
      <c r="D48" s="15"/>
      <c r="E48" s="15" t="n">
        <v>40</v>
      </c>
      <c r="F48" s="7" t="s">
        <v>23</v>
      </c>
    </row>
    <row r="49" customFormat="false" ht="15" hidden="false" customHeight="false" outlineLevel="0" collapsed="false">
      <c r="A49" s="7" t="s">
        <v>35</v>
      </c>
      <c r="B49" s="7" t="n">
        <v>51</v>
      </c>
      <c r="C49" s="7" t="s">
        <v>68</v>
      </c>
      <c r="D49" s="15"/>
      <c r="E49" s="15" t="n">
        <v>157</v>
      </c>
      <c r="F49" s="7" t="s">
        <v>25</v>
      </c>
    </row>
    <row r="50" customFormat="false" ht="15" hidden="false" customHeight="false" outlineLevel="0" collapsed="false">
      <c r="A50" s="7" t="s">
        <v>69</v>
      </c>
      <c r="B50" s="7" t="n">
        <v>4</v>
      </c>
      <c r="C50" s="7" t="s">
        <v>70</v>
      </c>
      <c r="D50" s="15" t="n">
        <v>1000</v>
      </c>
      <c r="E50" s="15"/>
      <c r="F50" s="7" t="s">
        <v>10</v>
      </c>
    </row>
    <row r="51" customFormat="false" ht="15" hidden="false" customHeight="false" outlineLevel="0" collapsed="false">
      <c r="A51" s="7" t="s">
        <v>69</v>
      </c>
      <c r="B51" s="7" t="n">
        <v>5</v>
      </c>
      <c r="C51" s="7" t="s">
        <v>68</v>
      </c>
      <c r="D51" s="15"/>
      <c r="E51" s="15" t="n">
        <v>137</v>
      </c>
      <c r="F51" s="7" t="s">
        <v>25</v>
      </c>
    </row>
    <row r="52" customFormat="false" ht="15" hidden="false" customHeight="false" outlineLevel="0" collapsed="false">
      <c r="A52" s="7" t="s">
        <v>69</v>
      </c>
      <c r="B52" s="7" t="n">
        <v>6</v>
      </c>
      <c r="C52" s="7" t="s">
        <v>36</v>
      </c>
      <c r="D52" s="15"/>
      <c r="E52" s="15" t="n">
        <v>9.96</v>
      </c>
      <c r="F52" s="7" t="s">
        <v>19</v>
      </c>
    </row>
    <row r="53" customFormat="false" ht="15" hidden="false" customHeight="false" outlineLevel="0" collapsed="false">
      <c r="A53" s="7" t="s">
        <v>69</v>
      </c>
      <c r="B53" s="7" t="n">
        <v>7</v>
      </c>
      <c r="C53" s="7" t="s">
        <v>70</v>
      </c>
      <c r="D53" s="15" t="n">
        <v>845</v>
      </c>
      <c r="E53" s="15"/>
      <c r="F53" s="7" t="s">
        <v>10</v>
      </c>
    </row>
    <row r="54" customFormat="false" ht="15" hidden="false" customHeight="false" outlineLevel="0" collapsed="false">
      <c r="A54" s="7" t="s">
        <v>69</v>
      </c>
      <c r="B54" s="7" t="n">
        <v>8</v>
      </c>
      <c r="C54" s="7" t="s">
        <v>71</v>
      </c>
      <c r="D54" s="15"/>
      <c r="E54" s="15" t="n">
        <v>51</v>
      </c>
      <c r="F54" s="7" t="s">
        <v>25</v>
      </c>
    </row>
    <row r="55" customFormat="false" ht="15" hidden="false" customHeight="false" outlineLevel="0" collapsed="false">
      <c r="A55" s="7" t="s">
        <v>69</v>
      </c>
      <c r="B55" s="7" t="n">
        <v>9</v>
      </c>
      <c r="C55" s="7" t="s">
        <v>72</v>
      </c>
      <c r="D55" s="15"/>
      <c r="E55" s="15" t="n">
        <v>3690</v>
      </c>
      <c r="F55" s="7" t="s">
        <v>22</v>
      </c>
    </row>
    <row r="56" customFormat="false" ht="15" hidden="false" customHeight="false" outlineLevel="0" collapsed="false">
      <c r="A56" s="7" t="s">
        <v>69</v>
      </c>
      <c r="B56" s="7" t="n">
        <v>10</v>
      </c>
      <c r="C56" s="7" t="s">
        <v>73</v>
      </c>
      <c r="D56" s="15"/>
      <c r="E56" s="15" t="n">
        <v>724.97</v>
      </c>
      <c r="F56" s="7" t="s">
        <v>14</v>
      </c>
    </row>
    <row r="57" customFormat="false" ht="15" hidden="false" customHeight="false" outlineLevel="0" collapsed="false">
      <c r="A57" s="7" t="s">
        <v>69</v>
      </c>
      <c r="B57" s="7" t="n">
        <v>11</v>
      </c>
      <c r="C57" s="7" t="s">
        <v>74</v>
      </c>
      <c r="D57" s="15"/>
      <c r="E57" s="15" t="n">
        <v>241.09</v>
      </c>
      <c r="F57" s="7" t="s">
        <v>14</v>
      </c>
    </row>
    <row r="58" customFormat="false" ht="15" hidden="false" customHeight="false" outlineLevel="0" collapsed="false">
      <c r="A58" s="7" t="s">
        <v>69</v>
      </c>
      <c r="B58" s="7" t="n">
        <v>12</v>
      </c>
      <c r="C58" s="7" t="s">
        <v>75</v>
      </c>
      <c r="D58" s="15"/>
      <c r="E58" s="15" t="n">
        <v>0.65</v>
      </c>
      <c r="F58" s="7" t="s">
        <v>25</v>
      </c>
    </row>
    <row r="59" customFormat="false" ht="15" hidden="false" customHeight="false" outlineLevel="0" collapsed="false">
      <c r="A59" s="7" t="s">
        <v>69</v>
      </c>
      <c r="B59" s="7" t="n">
        <v>13</v>
      </c>
      <c r="C59" s="7" t="s">
        <v>76</v>
      </c>
      <c r="D59" s="15"/>
      <c r="E59" s="15" t="n">
        <v>1599.28</v>
      </c>
      <c r="F59" s="7" t="s">
        <v>21</v>
      </c>
    </row>
    <row r="60" customFormat="false" ht="15" hidden="false" customHeight="false" outlineLevel="0" collapsed="false">
      <c r="A60" s="7" t="s">
        <v>69</v>
      </c>
      <c r="B60" s="7" t="n">
        <v>14</v>
      </c>
      <c r="C60" s="7" t="s">
        <v>76</v>
      </c>
      <c r="D60" s="15"/>
      <c r="E60" s="15" t="n">
        <v>1</v>
      </c>
      <c r="F60" s="7" t="s">
        <v>21</v>
      </c>
    </row>
    <row r="61" customFormat="false" ht="15" hidden="false" customHeight="false" outlineLevel="0" collapsed="false">
      <c r="A61" s="7" t="s">
        <v>69</v>
      </c>
      <c r="B61" s="7" t="n">
        <v>15</v>
      </c>
      <c r="C61" s="7" t="s">
        <v>77</v>
      </c>
      <c r="D61" s="15"/>
      <c r="E61" s="15" t="n">
        <v>2546.34</v>
      </c>
      <c r="F61" s="7" t="s">
        <v>21</v>
      </c>
    </row>
    <row r="62" customFormat="false" ht="15" hidden="false" customHeight="false" outlineLevel="0" collapsed="false">
      <c r="A62" s="7" t="s">
        <v>69</v>
      </c>
      <c r="B62" s="7" t="n">
        <v>16</v>
      </c>
      <c r="C62" s="7" t="s">
        <v>78</v>
      </c>
      <c r="D62" s="15" t="n">
        <v>22145.54</v>
      </c>
      <c r="E62" s="15"/>
      <c r="F62" s="7" t="s">
        <v>10</v>
      </c>
    </row>
    <row r="63" customFormat="false" ht="15" hidden="false" customHeight="false" outlineLevel="0" collapsed="false">
      <c r="A63" s="7" t="s">
        <v>69</v>
      </c>
      <c r="B63" s="7" t="n">
        <v>17</v>
      </c>
      <c r="C63" s="7" t="s">
        <v>66</v>
      </c>
      <c r="D63" s="15"/>
      <c r="E63" s="15" t="n">
        <v>1</v>
      </c>
      <c r="F63" s="7" t="s">
        <v>25</v>
      </c>
    </row>
    <row r="64" customFormat="false" ht="15" hidden="false" customHeight="false" outlineLevel="0" collapsed="false">
      <c r="A64" s="7" t="s">
        <v>69</v>
      </c>
      <c r="B64" s="7" t="n">
        <v>18</v>
      </c>
      <c r="C64" s="7" t="s">
        <v>42</v>
      </c>
      <c r="D64" s="15"/>
      <c r="E64" s="15" t="n">
        <v>148.95</v>
      </c>
      <c r="F64" s="7" t="s">
        <v>15</v>
      </c>
    </row>
    <row r="65" customFormat="false" ht="15" hidden="false" customHeight="false" outlineLevel="0" collapsed="false">
      <c r="A65" s="7" t="s">
        <v>69</v>
      </c>
      <c r="B65" s="7" t="n">
        <v>19</v>
      </c>
      <c r="C65" s="7" t="s">
        <v>62</v>
      </c>
      <c r="D65" s="15"/>
      <c r="E65" s="15" t="n">
        <v>235.03</v>
      </c>
      <c r="F65" s="7" t="s">
        <v>23</v>
      </c>
    </row>
    <row r="66" customFormat="false" ht="15" hidden="false" customHeight="false" outlineLevel="0" collapsed="false">
      <c r="A66" s="7" t="s">
        <v>69</v>
      </c>
      <c r="B66" s="7" t="n">
        <v>20</v>
      </c>
      <c r="C66" s="7" t="s">
        <v>74</v>
      </c>
      <c r="D66" s="15"/>
      <c r="E66" s="15" t="n">
        <v>176.79</v>
      </c>
      <c r="F66" s="7" t="s">
        <v>14</v>
      </c>
    </row>
    <row r="67" customFormat="false" ht="15" hidden="false" customHeight="false" outlineLevel="0" collapsed="false">
      <c r="A67" s="7" t="s">
        <v>69</v>
      </c>
      <c r="B67" s="7" t="n">
        <v>21</v>
      </c>
      <c r="C67" s="7" t="s">
        <v>79</v>
      </c>
      <c r="D67" s="15" t="n">
        <v>3136.5</v>
      </c>
      <c r="E67" s="15"/>
      <c r="F67" s="7" t="s">
        <v>10</v>
      </c>
    </row>
    <row r="68" customFormat="false" ht="15" hidden="false" customHeight="false" outlineLevel="0" collapsed="false">
      <c r="A68" s="7" t="s">
        <v>69</v>
      </c>
      <c r="B68" s="7" t="n">
        <v>22</v>
      </c>
      <c r="C68" s="7" t="s">
        <v>80</v>
      </c>
      <c r="D68" s="15" t="n">
        <v>886</v>
      </c>
      <c r="E68" s="15"/>
      <c r="F68" s="7" t="s">
        <v>11</v>
      </c>
    </row>
    <row r="69" customFormat="false" ht="15" hidden="false" customHeight="false" outlineLevel="0" collapsed="false">
      <c r="A69" s="7" t="s">
        <v>69</v>
      </c>
      <c r="B69" s="7" t="n">
        <v>23</v>
      </c>
      <c r="C69" s="7" t="s">
        <v>81</v>
      </c>
      <c r="D69" s="15"/>
      <c r="E69" s="15" t="n">
        <v>680.88</v>
      </c>
      <c r="F69" s="7" t="s">
        <v>24</v>
      </c>
    </row>
    <row r="70" customFormat="false" ht="15" hidden="false" customHeight="false" outlineLevel="0" collapsed="false">
      <c r="A70" s="7" t="s">
        <v>69</v>
      </c>
      <c r="B70" s="7" t="n">
        <v>25</v>
      </c>
      <c r="C70" s="7" t="s">
        <v>39</v>
      </c>
      <c r="D70" s="15"/>
      <c r="E70" s="15" t="n">
        <v>246</v>
      </c>
      <c r="F70" s="7" t="s">
        <v>19</v>
      </c>
    </row>
    <row r="71" customFormat="false" ht="15" hidden="false" customHeight="false" outlineLevel="0" collapsed="false">
      <c r="A71" s="7" t="s">
        <v>69</v>
      </c>
      <c r="B71" s="7" t="n">
        <v>26</v>
      </c>
      <c r="C71" s="7" t="s">
        <v>82</v>
      </c>
      <c r="D71" s="15"/>
      <c r="E71" s="15" t="n">
        <v>700</v>
      </c>
      <c r="F71" s="7" t="s">
        <v>22</v>
      </c>
    </row>
    <row r="72" customFormat="false" ht="15" hidden="false" customHeight="false" outlineLevel="0" collapsed="false">
      <c r="A72" s="7" t="s">
        <v>69</v>
      </c>
      <c r="B72" s="7" t="n">
        <v>27</v>
      </c>
      <c r="C72" s="7" t="s">
        <v>54</v>
      </c>
      <c r="D72" s="15"/>
      <c r="E72" s="15" t="n">
        <v>905.22</v>
      </c>
      <c r="F72" s="7" t="s">
        <v>14</v>
      </c>
    </row>
    <row r="73" customFormat="false" ht="15" hidden="false" customHeight="false" outlineLevel="0" collapsed="false">
      <c r="A73" s="7" t="s">
        <v>69</v>
      </c>
      <c r="B73" s="7" t="n">
        <v>28</v>
      </c>
      <c r="C73" s="7" t="s">
        <v>73</v>
      </c>
      <c r="D73" s="15"/>
      <c r="E73" s="15" t="n">
        <v>109.42</v>
      </c>
      <c r="F73" s="7" t="s">
        <v>14</v>
      </c>
    </row>
    <row r="74" customFormat="false" ht="15" hidden="false" customHeight="false" outlineLevel="0" collapsed="false">
      <c r="A74" s="7" t="s">
        <v>69</v>
      </c>
      <c r="B74" s="7" t="n">
        <v>29</v>
      </c>
      <c r="C74" s="7" t="s">
        <v>71</v>
      </c>
      <c r="D74" s="15"/>
      <c r="E74" s="15" t="n">
        <v>51</v>
      </c>
      <c r="F74" s="7" t="s">
        <v>25</v>
      </c>
    </row>
    <row r="75" customFormat="false" ht="15" hidden="false" customHeight="false" outlineLevel="0" collapsed="false">
      <c r="A75" s="7" t="s">
        <v>69</v>
      </c>
      <c r="B75" s="7" t="n">
        <v>30</v>
      </c>
      <c r="C75" s="7" t="s">
        <v>36</v>
      </c>
      <c r="D75" s="15"/>
      <c r="E75" s="15" t="n">
        <v>9.96</v>
      </c>
      <c r="F75" s="7" t="s">
        <v>19</v>
      </c>
    </row>
    <row r="76" customFormat="false" ht="15" hidden="false" customHeight="false" outlineLevel="0" collapsed="false">
      <c r="A76" s="7" t="s">
        <v>69</v>
      </c>
      <c r="B76" s="7" t="n">
        <v>31</v>
      </c>
      <c r="C76" s="7" t="s">
        <v>83</v>
      </c>
      <c r="D76" s="15" t="n">
        <v>1119.3</v>
      </c>
      <c r="E76" s="15"/>
      <c r="F76" s="7" t="s">
        <v>10</v>
      </c>
    </row>
    <row r="77" customFormat="false" ht="15" hidden="false" customHeight="false" outlineLevel="0" collapsed="false">
      <c r="A77" s="7" t="s">
        <v>69</v>
      </c>
      <c r="B77" s="7" t="n">
        <v>32</v>
      </c>
      <c r="C77" s="7" t="s">
        <v>84</v>
      </c>
      <c r="D77" s="15"/>
      <c r="E77" s="15" t="n">
        <v>2656.98</v>
      </c>
      <c r="F77" s="7" t="s">
        <v>14</v>
      </c>
    </row>
    <row r="78" customFormat="false" ht="15" hidden="false" customHeight="false" outlineLevel="0" collapsed="false">
      <c r="A78" s="7" t="s">
        <v>69</v>
      </c>
      <c r="B78" s="7" t="n">
        <v>33</v>
      </c>
      <c r="C78" s="7" t="s">
        <v>85</v>
      </c>
      <c r="D78" s="15"/>
      <c r="E78" s="15" t="n">
        <v>20000</v>
      </c>
      <c r="F78" s="7" t="s">
        <v>20</v>
      </c>
    </row>
    <row r="79" customFormat="false" ht="15" hidden="false" customHeight="false" outlineLevel="0" collapsed="false">
      <c r="A79" s="7" t="s">
        <v>69</v>
      </c>
      <c r="B79" s="7" t="n">
        <v>34</v>
      </c>
      <c r="C79" s="7" t="s">
        <v>85</v>
      </c>
      <c r="D79" s="15"/>
      <c r="E79" s="15" t="n">
        <v>16000</v>
      </c>
      <c r="F79" s="7" t="s">
        <v>20</v>
      </c>
    </row>
    <row r="80" customFormat="false" ht="15" hidden="false" customHeight="false" outlineLevel="0" collapsed="false">
      <c r="A80" s="7" t="s">
        <v>69</v>
      </c>
      <c r="B80" s="7" t="n">
        <v>35</v>
      </c>
      <c r="C80" s="7" t="s">
        <v>76</v>
      </c>
      <c r="D80" s="15"/>
      <c r="E80" s="15" t="n">
        <v>1600.27</v>
      </c>
      <c r="F80" s="7" t="s">
        <v>21</v>
      </c>
    </row>
    <row r="81" customFormat="false" ht="15" hidden="false" customHeight="false" outlineLevel="0" collapsed="false">
      <c r="A81" s="7" t="s">
        <v>69</v>
      </c>
      <c r="B81" s="7" t="n">
        <v>36</v>
      </c>
      <c r="C81" s="7" t="s">
        <v>54</v>
      </c>
      <c r="D81" s="15"/>
      <c r="E81" s="15" t="n">
        <v>183.33</v>
      </c>
      <c r="F81" s="7" t="s">
        <v>14</v>
      </c>
    </row>
    <row r="82" customFormat="false" ht="15" hidden="false" customHeight="false" outlineLevel="0" collapsed="false">
      <c r="A82" s="7" t="s">
        <v>69</v>
      </c>
      <c r="B82" s="7" t="n">
        <v>37</v>
      </c>
      <c r="C82" s="7" t="s">
        <v>39</v>
      </c>
      <c r="D82" s="15"/>
      <c r="E82" s="15" t="n">
        <v>246</v>
      </c>
      <c r="F82" s="7" t="s">
        <v>19</v>
      </c>
    </row>
    <row r="83" customFormat="false" ht="15" hidden="false" customHeight="false" outlineLevel="0" collapsed="false">
      <c r="A83" s="7" t="s">
        <v>69</v>
      </c>
      <c r="B83" s="7" t="n">
        <v>38</v>
      </c>
      <c r="C83" s="7" t="s">
        <v>77</v>
      </c>
      <c r="D83" s="15"/>
      <c r="E83" s="15" t="n">
        <v>2546.36</v>
      </c>
      <c r="F83" s="7" t="s">
        <v>21</v>
      </c>
    </row>
    <row r="84" customFormat="false" ht="15" hidden="false" customHeight="false" outlineLevel="0" collapsed="false">
      <c r="A84" s="7" t="s">
        <v>69</v>
      </c>
      <c r="B84" s="7" t="n">
        <v>39</v>
      </c>
      <c r="C84" s="7" t="s">
        <v>86</v>
      </c>
      <c r="D84" s="15"/>
      <c r="E84" s="15" t="n">
        <v>6150</v>
      </c>
      <c r="F84" s="7" t="s">
        <v>14</v>
      </c>
    </row>
    <row r="85" customFormat="false" ht="15" hidden="false" customHeight="false" outlineLevel="0" collapsed="false">
      <c r="A85" s="7" t="s">
        <v>69</v>
      </c>
      <c r="B85" s="7" t="n">
        <v>40</v>
      </c>
      <c r="C85" s="7" t="s">
        <v>62</v>
      </c>
      <c r="D85" s="15"/>
      <c r="E85" s="15" t="n">
        <v>108.43</v>
      </c>
      <c r="F85" s="7" t="s">
        <v>23</v>
      </c>
    </row>
    <row r="86" customFormat="false" ht="15" hidden="false" customHeight="false" outlineLevel="0" collapsed="false">
      <c r="A86" s="7" t="s">
        <v>69</v>
      </c>
      <c r="B86" s="7" t="n">
        <v>41</v>
      </c>
      <c r="C86" s="7" t="s">
        <v>87</v>
      </c>
      <c r="D86" s="15"/>
      <c r="E86" s="15" t="n">
        <v>1650</v>
      </c>
      <c r="F86" s="7" t="s">
        <v>25</v>
      </c>
    </row>
    <row r="87" customFormat="false" ht="15" hidden="false" customHeight="false" outlineLevel="0" collapsed="false">
      <c r="A87" s="7" t="s">
        <v>69</v>
      </c>
      <c r="B87" s="7" t="n">
        <v>42</v>
      </c>
      <c r="C87" s="7" t="s">
        <v>84</v>
      </c>
      <c r="D87" s="15"/>
      <c r="E87" s="15" t="n">
        <v>2919.06</v>
      </c>
      <c r="F87" s="7" t="s">
        <v>14</v>
      </c>
    </row>
    <row r="88" customFormat="false" ht="15" hidden="false" customHeight="false" outlineLevel="0" collapsed="false">
      <c r="A88" s="7" t="s">
        <v>69</v>
      </c>
      <c r="B88" s="7" t="n">
        <v>43</v>
      </c>
      <c r="C88" s="7" t="s">
        <v>88</v>
      </c>
      <c r="D88" s="15"/>
      <c r="E88" s="15" t="n">
        <v>1250</v>
      </c>
      <c r="F88" s="7" t="s">
        <v>20</v>
      </c>
    </row>
    <row r="89" customFormat="false" ht="15" hidden="false" customHeight="false" outlineLevel="0" collapsed="false">
      <c r="A89" s="7" t="s">
        <v>69</v>
      </c>
      <c r="B89" s="7" t="n">
        <v>44</v>
      </c>
      <c r="C89" s="7" t="s">
        <v>89</v>
      </c>
      <c r="D89" s="15"/>
      <c r="E89" s="15" t="n">
        <v>1250</v>
      </c>
      <c r="F89" s="7" t="s">
        <v>20</v>
      </c>
    </row>
    <row r="90" customFormat="false" ht="15" hidden="false" customHeight="false" outlineLevel="0" collapsed="false">
      <c r="A90" s="7" t="s">
        <v>69</v>
      </c>
      <c r="B90" s="7" t="n">
        <v>45</v>
      </c>
      <c r="C90" s="7" t="s">
        <v>90</v>
      </c>
      <c r="D90" s="15"/>
      <c r="E90" s="15" t="n">
        <v>117.98</v>
      </c>
      <c r="F90" s="7" t="s">
        <v>15</v>
      </c>
    </row>
    <row r="91" customFormat="false" ht="15" hidden="false" customHeight="false" outlineLevel="0" collapsed="false">
      <c r="A91" s="7" t="s">
        <v>69</v>
      </c>
      <c r="B91" s="7" t="n">
        <v>46</v>
      </c>
      <c r="C91" s="7" t="s">
        <v>90</v>
      </c>
      <c r="D91" s="15"/>
      <c r="E91" s="15" t="n">
        <v>120.05</v>
      </c>
      <c r="F91" s="7" t="s">
        <v>15</v>
      </c>
    </row>
    <row r="92" customFormat="false" ht="15" hidden="false" customHeight="false" outlineLevel="0" collapsed="false">
      <c r="A92" s="7" t="s">
        <v>69</v>
      </c>
      <c r="B92" s="7" t="n">
        <v>47</v>
      </c>
      <c r="C92" s="7" t="s">
        <v>90</v>
      </c>
      <c r="D92" s="15"/>
      <c r="E92" s="15" t="n">
        <v>3689.98</v>
      </c>
      <c r="F92" s="7" t="s">
        <v>15</v>
      </c>
    </row>
    <row r="93" customFormat="false" ht="15" hidden="false" customHeight="false" outlineLevel="0" collapsed="false">
      <c r="A93" s="7" t="s">
        <v>69</v>
      </c>
      <c r="B93" s="7" t="n">
        <v>48</v>
      </c>
      <c r="C93" s="7" t="s">
        <v>91</v>
      </c>
      <c r="D93" s="15"/>
      <c r="E93" s="15" t="n">
        <v>365.27</v>
      </c>
      <c r="F93" s="7" t="s">
        <v>14</v>
      </c>
    </row>
    <row r="94" customFormat="false" ht="15" hidden="false" customHeight="false" outlineLevel="0" collapsed="false">
      <c r="A94" s="7" t="s">
        <v>69</v>
      </c>
      <c r="B94" s="7" t="n">
        <v>49</v>
      </c>
      <c r="C94" s="7" t="s">
        <v>68</v>
      </c>
      <c r="D94" s="15"/>
      <c r="E94" s="15" t="n">
        <v>130</v>
      </c>
      <c r="F94" s="7" t="s">
        <v>25</v>
      </c>
    </row>
    <row r="95" customFormat="false" ht="15" hidden="false" customHeight="false" outlineLevel="0" collapsed="false">
      <c r="A95" s="7" t="s">
        <v>69</v>
      </c>
      <c r="B95" s="7" t="n">
        <v>50</v>
      </c>
      <c r="C95" s="7" t="s">
        <v>92</v>
      </c>
      <c r="D95" s="15" t="n">
        <v>10000</v>
      </c>
      <c r="E95" s="15"/>
      <c r="F95" s="7" t="s">
        <v>10</v>
      </c>
    </row>
    <row r="96" customFormat="false" ht="15" hidden="false" customHeight="false" outlineLevel="0" collapsed="false">
      <c r="A96" s="7" t="s">
        <v>69</v>
      </c>
      <c r="B96" s="7" t="n">
        <v>51</v>
      </c>
      <c r="C96" s="7" t="s">
        <v>76</v>
      </c>
      <c r="D96" s="15"/>
      <c r="E96" s="15" t="n">
        <v>1600.28</v>
      </c>
      <c r="F96" s="7" t="s">
        <v>21</v>
      </c>
    </row>
    <row r="97" customFormat="false" ht="15" hidden="false" customHeight="false" outlineLevel="0" collapsed="false">
      <c r="A97" s="7" t="s">
        <v>69</v>
      </c>
      <c r="B97" s="7" t="n">
        <v>52</v>
      </c>
      <c r="C97" s="7" t="s">
        <v>77</v>
      </c>
      <c r="D97" s="15"/>
      <c r="E97" s="15" t="n">
        <v>3235.59</v>
      </c>
      <c r="F97" s="7" t="s">
        <v>21</v>
      </c>
    </row>
    <row r="98" customFormat="false" ht="15" hidden="false" customHeight="false" outlineLevel="0" collapsed="false">
      <c r="A98" s="7" t="s">
        <v>69</v>
      </c>
      <c r="B98" s="7" t="n">
        <v>53</v>
      </c>
      <c r="C98" s="7" t="s">
        <v>77</v>
      </c>
      <c r="D98" s="15"/>
      <c r="E98" s="15" t="n">
        <v>4363.35</v>
      </c>
      <c r="F98" s="7" t="s">
        <v>21</v>
      </c>
    </row>
    <row r="99" customFormat="false" ht="15" hidden="false" customHeight="false" outlineLevel="0" collapsed="false">
      <c r="A99" s="7" t="s">
        <v>69</v>
      </c>
      <c r="B99" s="7" t="n">
        <v>54</v>
      </c>
      <c r="C99" s="7" t="s">
        <v>81</v>
      </c>
      <c r="D99" s="15"/>
      <c r="E99" s="15" t="n">
        <v>680.87</v>
      </c>
      <c r="F99" s="7" t="s">
        <v>24</v>
      </c>
    </row>
    <row r="100" customFormat="false" ht="15" hidden="false" customHeight="false" outlineLevel="0" collapsed="false">
      <c r="A100" s="7" t="s">
        <v>93</v>
      </c>
      <c r="B100" s="7" t="n">
        <v>4</v>
      </c>
      <c r="C100" s="7" t="s">
        <v>94</v>
      </c>
      <c r="D100" s="15"/>
      <c r="E100" s="15" t="n">
        <v>200</v>
      </c>
      <c r="F100" s="7" t="s">
        <v>23</v>
      </c>
    </row>
    <row r="101" customFormat="false" ht="15" hidden="false" customHeight="false" outlineLevel="0" collapsed="false">
      <c r="A101" s="7" t="s">
        <v>93</v>
      </c>
      <c r="B101" s="7" t="n">
        <v>5</v>
      </c>
      <c r="C101" s="7" t="s">
        <v>94</v>
      </c>
      <c r="D101" s="15"/>
      <c r="E101" s="15" t="n">
        <v>200</v>
      </c>
      <c r="F101" s="7" t="s">
        <v>23</v>
      </c>
    </row>
    <row r="102" customFormat="false" ht="15" hidden="false" customHeight="false" outlineLevel="0" collapsed="false">
      <c r="A102" s="7" t="s">
        <v>93</v>
      </c>
      <c r="B102" s="7" t="n">
        <v>6</v>
      </c>
      <c r="C102" s="7" t="s">
        <v>94</v>
      </c>
      <c r="D102" s="15"/>
      <c r="E102" s="15" t="n">
        <v>200</v>
      </c>
      <c r="F102" s="7" t="s">
        <v>23</v>
      </c>
    </row>
    <row r="103" customFormat="false" ht="15" hidden="false" customHeight="false" outlineLevel="0" collapsed="false">
      <c r="A103" s="7" t="s">
        <v>93</v>
      </c>
      <c r="B103" s="7" t="n">
        <v>7</v>
      </c>
      <c r="C103" s="7" t="s">
        <v>94</v>
      </c>
      <c r="D103" s="15"/>
      <c r="E103" s="15" t="n">
        <v>200</v>
      </c>
      <c r="F103" s="7" t="s">
        <v>23</v>
      </c>
    </row>
    <row r="104" customFormat="false" ht="15" hidden="false" customHeight="false" outlineLevel="0" collapsed="false">
      <c r="A104" s="7" t="s">
        <v>93</v>
      </c>
      <c r="B104" s="7" t="n">
        <v>8</v>
      </c>
      <c r="C104" s="7" t="s">
        <v>94</v>
      </c>
      <c r="D104" s="15"/>
      <c r="E104" s="15" t="n">
        <v>200</v>
      </c>
      <c r="F104" s="7" t="s">
        <v>23</v>
      </c>
    </row>
    <row r="105" customFormat="false" ht="15" hidden="false" customHeight="false" outlineLevel="0" collapsed="false">
      <c r="A105" s="7" t="s">
        <v>93</v>
      </c>
      <c r="B105" s="7" t="n">
        <v>9</v>
      </c>
      <c r="C105" s="7" t="s">
        <v>94</v>
      </c>
      <c r="D105" s="15"/>
      <c r="E105" s="15" t="n">
        <v>200</v>
      </c>
      <c r="F105" s="7" t="s">
        <v>23</v>
      </c>
    </row>
    <row r="106" customFormat="false" ht="15" hidden="false" customHeight="false" outlineLevel="0" collapsed="false">
      <c r="A106" s="7" t="s">
        <v>93</v>
      </c>
      <c r="B106" s="7" t="n">
        <v>10</v>
      </c>
      <c r="C106" s="7" t="s">
        <v>94</v>
      </c>
      <c r="D106" s="15"/>
      <c r="E106" s="15" t="n">
        <v>200</v>
      </c>
      <c r="F106" s="7" t="s">
        <v>23</v>
      </c>
    </row>
    <row r="107" customFormat="false" ht="15" hidden="false" customHeight="false" outlineLevel="0" collapsed="false">
      <c r="A107" s="7" t="s">
        <v>93</v>
      </c>
      <c r="B107" s="7" t="n">
        <v>11</v>
      </c>
      <c r="C107" s="7" t="s">
        <v>94</v>
      </c>
      <c r="D107" s="15"/>
      <c r="E107" s="15" t="n">
        <v>200</v>
      </c>
      <c r="F107" s="7" t="s">
        <v>23</v>
      </c>
    </row>
    <row r="108" customFormat="false" ht="15" hidden="false" customHeight="false" outlineLevel="0" collapsed="false">
      <c r="A108" s="7" t="s">
        <v>93</v>
      </c>
      <c r="B108" s="7" t="n">
        <v>12</v>
      </c>
      <c r="C108" s="7" t="s">
        <v>94</v>
      </c>
      <c r="D108" s="15"/>
      <c r="E108" s="15" t="n">
        <v>200</v>
      </c>
      <c r="F108" s="7" t="s">
        <v>23</v>
      </c>
    </row>
    <row r="109" customFormat="false" ht="15" hidden="false" customHeight="false" outlineLevel="0" collapsed="false">
      <c r="A109" s="7" t="s">
        <v>93</v>
      </c>
      <c r="B109" s="7" t="n">
        <v>13</v>
      </c>
      <c r="C109" s="7" t="s">
        <v>94</v>
      </c>
      <c r="D109" s="15"/>
      <c r="E109" s="15" t="n">
        <v>200</v>
      </c>
      <c r="F109" s="7" t="s">
        <v>23</v>
      </c>
    </row>
    <row r="110" customFormat="false" ht="15" hidden="false" customHeight="false" outlineLevel="0" collapsed="false">
      <c r="A110" s="7" t="s">
        <v>93</v>
      </c>
      <c r="B110" s="7" t="n">
        <v>14</v>
      </c>
      <c r="C110" s="7" t="s">
        <v>94</v>
      </c>
      <c r="D110" s="15"/>
      <c r="E110" s="15" t="n">
        <v>200</v>
      </c>
      <c r="F110" s="7" t="s">
        <v>23</v>
      </c>
    </row>
    <row r="111" customFormat="false" ht="15" hidden="false" customHeight="false" outlineLevel="0" collapsed="false">
      <c r="A111" s="7" t="s">
        <v>93</v>
      </c>
      <c r="B111" s="7" t="n">
        <v>15</v>
      </c>
      <c r="C111" s="7" t="s">
        <v>94</v>
      </c>
      <c r="D111" s="15"/>
      <c r="E111" s="15" t="n">
        <v>200</v>
      </c>
      <c r="F111" s="7" t="s">
        <v>23</v>
      </c>
    </row>
    <row r="112" customFormat="false" ht="15" hidden="false" customHeight="false" outlineLevel="0" collapsed="false">
      <c r="A112" s="7" t="s">
        <v>93</v>
      </c>
      <c r="B112" s="7" t="n">
        <v>16</v>
      </c>
      <c r="C112" s="7" t="s">
        <v>94</v>
      </c>
      <c r="D112" s="15"/>
      <c r="E112" s="15" t="n">
        <v>200</v>
      </c>
      <c r="F112" s="7" t="s">
        <v>23</v>
      </c>
    </row>
    <row r="113" customFormat="false" ht="15" hidden="false" customHeight="false" outlineLevel="0" collapsed="false">
      <c r="A113" s="7" t="s">
        <v>93</v>
      </c>
      <c r="B113" s="7" t="n">
        <v>17</v>
      </c>
      <c r="C113" s="7" t="s">
        <v>94</v>
      </c>
      <c r="D113" s="15"/>
      <c r="E113" s="15" t="n">
        <v>200</v>
      </c>
      <c r="F113" s="7" t="s">
        <v>23</v>
      </c>
    </row>
    <row r="114" customFormat="false" ht="15" hidden="false" customHeight="false" outlineLevel="0" collapsed="false">
      <c r="A114" s="7" t="s">
        <v>93</v>
      </c>
      <c r="B114" s="7" t="n">
        <v>18</v>
      </c>
      <c r="C114" s="7" t="s">
        <v>94</v>
      </c>
      <c r="D114" s="15"/>
      <c r="E114" s="15" t="n">
        <v>200</v>
      </c>
      <c r="F114" s="7" t="s">
        <v>23</v>
      </c>
    </row>
    <row r="115" customFormat="false" ht="15" hidden="false" customHeight="false" outlineLevel="0" collapsed="false">
      <c r="A115" s="7" t="s">
        <v>93</v>
      </c>
      <c r="B115" s="7" t="n">
        <v>19</v>
      </c>
      <c r="C115" s="7" t="s">
        <v>95</v>
      </c>
      <c r="D115" s="15" t="n">
        <v>11404.56</v>
      </c>
      <c r="E115" s="15"/>
      <c r="F115" s="7" t="s">
        <v>10</v>
      </c>
    </row>
    <row r="116" customFormat="false" ht="15" hidden="false" customHeight="false" outlineLevel="0" collapsed="false">
      <c r="A116" s="7" t="s">
        <v>93</v>
      </c>
      <c r="B116" s="7" t="n">
        <v>20</v>
      </c>
      <c r="C116" s="7" t="s">
        <v>96</v>
      </c>
      <c r="D116" s="15"/>
      <c r="E116" s="15" t="n">
        <v>42.55</v>
      </c>
      <c r="F116" s="7" t="s">
        <v>15</v>
      </c>
    </row>
    <row r="117" customFormat="false" ht="15" hidden="false" customHeight="false" outlineLevel="0" collapsed="false">
      <c r="A117" s="7" t="s">
        <v>93</v>
      </c>
      <c r="B117" s="7" t="n">
        <v>21</v>
      </c>
      <c r="C117" s="7" t="s">
        <v>97</v>
      </c>
      <c r="D117" s="15"/>
      <c r="E117" s="15" t="n">
        <v>1250</v>
      </c>
      <c r="F117" s="7" t="s">
        <v>20</v>
      </c>
    </row>
    <row r="118" customFormat="false" ht="15" hidden="false" customHeight="false" outlineLevel="0" collapsed="false">
      <c r="A118" s="7" t="s">
        <v>93</v>
      </c>
      <c r="B118" s="7" t="n">
        <v>22</v>
      </c>
      <c r="C118" s="7" t="s">
        <v>98</v>
      </c>
      <c r="D118" s="15"/>
      <c r="E118" s="15" t="n">
        <v>1250</v>
      </c>
      <c r="F118" s="7" t="s">
        <v>20</v>
      </c>
    </row>
    <row r="119" customFormat="false" ht="15" hidden="false" customHeight="false" outlineLevel="0" collapsed="false">
      <c r="A119" s="7" t="s">
        <v>93</v>
      </c>
      <c r="B119" s="7" t="n">
        <v>23</v>
      </c>
      <c r="C119" s="7" t="s">
        <v>99</v>
      </c>
      <c r="D119" s="15"/>
      <c r="E119" s="15" t="n">
        <v>9.96</v>
      </c>
      <c r="F119" s="7" t="s">
        <v>19</v>
      </c>
    </row>
    <row r="120" customFormat="false" ht="15" hidden="false" customHeight="false" outlineLevel="0" collapsed="false">
      <c r="A120" s="7" t="s">
        <v>93</v>
      </c>
      <c r="B120" s="7" t="n">
        <v>24</v>
      </c>
      <c r="C120" s="7" t="s">
        <v>100</v>
      </c>
      <c r="D120" s="15"/>
      <c r="E120" s="15" t="n">
        <v>51</v>
      </c>
      <c r="F120" s="7" t="s">
        <v>25</v>
      </c>
    </row>
    <row r="121" customFormat="false" ht="15" hidden="false" customHeight="false" outlineLevel="0" collapsed="false">
      <c r="A121" s="7" t="s">
        <v>93</v>
      </c>
      <c r="B121" s="7" t="n">
        <v>25</v>
      </c>
      <c r="C121" s="7" t="s">
        <v>101</v>
      </c>
      <c r="D121" s="15"/>
      <c r="E121" s="15" t="n">
        <v>62.26</v>
      </c>
      <c r="F121" s="7" t="s">
        <v>14</v>
      </c>
    </row>
    <row r="122" customFormat="false" ht="15" hidden="false" customHeight="false" outlineLevel="0" collapsed="false">
      <c r="A122" s="7" t="s">
        <v>93</v>
      </c>
      <c r="B122" s="7" t="n">
        <v>26</v>
      </c>
      <c r="C122" s="7" t="s">
        <v>96</v>
      </c>
      <c r="D122" s="15"/>
      <c r="E122" s="15" t="n">
        <v>39.1</v>
      </c>
      <c r="F122" s="7" t="s">
        <v>15</v>
      </c>
    </row>
    <row r="123" customFormat="false" ht="15" hidden="false" customHeight="false" outlineLevel="0" collapsed="false">
      <c r="A123" s="7" t="s">
        <v>93</v>
      </c>
      <c r="B123" s="7" t="n">
        <v>27</v>
      </c>
      <c r="C123" s="7" t="s">
        <v>96</v>
      </c>
      <c r="D123" s="15"/>
      <c r="E123" s="15" t="n">
        <v>542.95</v>
      </c>
      <c r="F123" s="7" t="s">
        <v>15</v>
      </c>
    </row>
    <row r="124" customFormat="false" ht="15" hidden="false" customHeight="false" outlineLevel="0" collapsed="false">
      <c r="A124" s="7" t="s">
        <v>93</v>
      </c>
      <c r="B124" s="7" t="n">
        <v>28</v>
      </c>
      <c r="C124" s="7" t="s">
        <v>102</v>
      </c>
      <c r="D124" s="15" t="n">
        <v>20172</v>
      </c>
      <c r="E124" s="15"/>
      <c r="F124" s="7" t="s">
        <v>10</v>
      </c>
    </row>
    <row r="125" customFormat="false" ht="15" hidden="false" customHeight="false" outlineLevel="0" collapsed="false">
      <c r="A125" s="7" t="s">
        <v>93</v>
      </c>
      <c r="B125" s="7" t="n">
        <v>29</v>
      </c>
      <c r="C125" s="7" t="s">
        <v>103</v>
      </c>
      <c r="D125" s="15"/>
      <c r="E125" s="15" t="n">
        <v>40</v>
      </c>
      <c r="F125" s="7" t="s">
        <v>14</v>
      </c>
    </row>
    <row r="126" customFormat="false" ht="15" hidden="false" customHeight="false" outlineLevel="0" collapsed="false">
      <c r="A126" s="7" t="s">
        <v>93</v>
      </c>
      <c r="B126" s="7" t="n">
        <v>30</v>
      </c>
      <c r="C126" s="7" t="s">
        <v>70</v>
      </c>
      <c r="D126" s="15" t="n">
        <v>1289.68</v>
      </c>
      <c r="E126" s="15"/>
      <c r="F126" s="7" t="s">
        <v>10</v>
      </c>
    </row>
    <row r="127" customFormat="false" ht="15" hidden="false" customHeight="false" outlineLevel="0" collapsed="false">
      <c r="A127" s="7" t="s">
        <v>93</v>
      </c>
      <c r="B127" s="7" t="n">
        <v>31</v>
      </c>
      <c r="C127" s="7" t="s">
        <v>104</v>
      </c>
      <c r="D127" s="15"/>
      <c r="E127" s="15" t="n">
        <v>2579.35</v>
      </c>
      <c r="F127" s="7" t="s">
        <v>19</v>
      </c>
    </row>
    <row r="128" customFormat="false" ht="15" hidden="false" customHeight="false" outlineLevel="0" collapsed="false">
      <c r="A128" s="7" t="s">
        <v>93</v>
      </c>
      <c r="B128" s="7" t="n">
        <v>32</v>
      </c>
      <c r="C128" s="7" t="s">
        <v>42</v>
      </c>
      <c r="D128" s="15"/>
      <c r="E128" s="15" t="n">
        <v>161.73</v>
      </c>
      <c r="F128" s="7" t="s">
        <v>15</v>
      </c>
    </row>
    <row r="129" customFormat="false" ht="15" hidden="false" customHeight="false" outlineLevel="0" collapsed="false">
      <c r="A129" s="7" t="s">
        <v>93</v>
      </c>
      <c r="B129" s="7" t="n">
        <v>33</v>
      </c>
      <c r="C129" s="7" t="s">
        <v>105</v>
      </c>
      <c r="D129" s="15"/>
      <c r="E129" s="15" t="n">
        <v>399.67</v>
      </c>
      <c r="F129" s="7" t="s">
        <v>15</v>
      </c>
    </row>
    <row r="130" customFormat="false" ht="15" hidden="false" customHeight="false" outlineLevel="0" collapsed="false">
      <c r="A130" s="7" t="s">
        <v>93</v>
      </c>
      <c r="B130" s="7" t="n">
        <v>34</v>
      </c>
      <c r="C130" s="7" t="s">
        <v>62</v>
      </c>
      <c r="D130" s="15"/>
      <c r="E130" s="15" t="n">
        <v>127.23</v>
      </c>
      <c r="F130" s="7" t="s">
        <v>23</v>
      </c>
    </row>
    <row r="131" customFormat="false" ht="15" hidden="false" customHeight="false" outlineLevel="0" collapsed="false">
      <c r="A131" s="7" t="s">
        <v>93</v>
      </c>
      <c r="B131" s="7" t="n">
        <v>35</v>
      </c>
      <c r="C131" s="7" t="s">
        <v>57</v>
      </c>
      <c r="D131" s="15"/>
      <c r="E131" s="15" t="n">
        <v>7.32</v>
      </c>
      <c r="F131" s="7" t="s">
        <v>14</v>
      </c>
    </row>
    <row r="132" customFormat="false" ht="15" hidden="false" customHeight="false" outlineLevel="0" collapsed="false">
      <c r="A132" s="7" t="s">
        <v>93</v>
      </c>
      <c r="B132" s="7" t="n">
        <v>36</v>
      </c>
      <c r="C132" s="7" t="s">
        <v>57</v>
      </c>
      <c r="D132" s="15"/>
      <c r="E132" s="15" t="n">
        <v>14.46</v>
      </c>
      <c r="F132" s="7" t="s">
        <v>14</v>
      </c>
    </row>
    <row r="133" customFormat="false" ht="15" hidden="false" customHeight="false" outlineLevel="0" collapsed="false">
      <c r="A133" s="7" t="s">
        <v>93</v>
      </c>
      <c r="B133" s="7" t="n">
        <v>37</v>
      </c>
      <c r="C133" s="7" t="s">
        <v>57</v>
      </c>
      <c r="D133" s="15"/>
      <c r="E133" s="15" t="n">
        <v>111.39</v>
      </c>
      <c r="F133" s="7" t="s">
        <v>14</v>
      </c>
    </row>
    <row r="134" customFormat="false" ht="15" hidden="false" customHeight="false" outlineLevel="0" collapsed="false">
      <c r="A134" s="7" t="s">
        <v>93</v>
      </c>
      <c r="B134" s="7" t="n">
        <v>38</v>
      </c>
      <c r="C134" s="7" t="s">
        <v>39</v>
      </c>
      <c r="D134" s="15"/>
      <c r="E134" s="15" t="n">
        <v>246</v>
      </c>
      <c r="F134" s="7" t="s">
        <v>19</v>
      </c>
    </row>
    <row r="135" customFormat="false" ht="15" hidden="false" customHeight="false" outlineLevel="0" collapsed="false">
      <c r="A135" s="7" t="s">
        <v>93</v>
      </c>
      <c r="B135" s="7" t="n">
        <v>39</v>
      </c>
      <c r="C135" s="7" t="s">
        <v>106</v>
      </c>
      <c r="D135" s="15"/>
      <c r="E135" s="15" t="n">
        <v>1890</v>
      </c>
      <c r="F135" s="7" t="s">
        <v>14</v>
      </c>
    </row>
    <row r="136" customFormat="false" ht="15" hidden="false" customHeight="false" outlineLevel="0" collapsed="false">
      <c r="A136" s="7" t="s">
        <v>93</v>
      </c>
      <c r="B136" s="7" t="n">
        <v>40</v>
      </c>
      <c r="C136" s="7" t="s">
        <v>74</v>
      </c>
      <c r="D136" s="15"/>
      <c r="E136" s="15" t="n">
        <v>310.91</v>
      </c>
      <c r="F136" s="7" t="s">
        <v>14</v>
      </c>
    </row>
    <row r="137" customFormat="false" ht="15" hidden="false" customHeight="false" outlineLevel="0" collapsed="false">
      <c r="A137" s="7" t="s">
        <v>93</v>
      </c>
      <c r="B137" s="7" t="n">
        <v>41</v>
      </c>
      <c r="C137" s="7" t="s">
        <v>107</v>
      </c>
      <c r="D137" s="15" t="n">
        <v>1929.5</v>
      </c>
      <c r="E137" s="15"/>
      <c r="F137" s="7" t="s">
        <v>10</v>
      </c>
    </row>
    <row r="138" customFormat="false" ht="15" hidden="false" customHeight="false" outlineLevel="0" collapsed="false">
      <c r="A138" s="7" t="s">
        <v>93</v>
      </c>
      <c r="B138" s="7" t="n">
        <v>42</v>
      </c>
      <c r="C138" s="7" t="s">
        <v>108</v>
      </c>
      <c r="D138" s="15"/>
      <c r="E138" s="15" t="n">
        <v>159.98</v>
      </c>
      <c r="F138" s="7" t="s">
        <v>15</v>
      </c>
    </row>
    <row r="139" customFormat="false" ht="15" hidden="false" customHeight="false" outlineLevel="0" collapsed="false">
      <c r="A139" s="7" t="s">
        <v>93</v>
      </c>
      <c r="B139" s="7" t="n">
        <v>43</v>
      </c>
      <c r="C139" s="7" t="s">
        <v>109</v>
      </c>
      <c r="D139" s="15"/>
      <c r="E139" s="15" t="n">
        <v>147.94</v>
      </c>
      <c r="F139" s="7" t="s">
        <v>25</v>
      </c>
    </row>
    <row r="140" customFormat="false" ht="15" hidden="false" customHeight="false" outlineLevel="0" collapsed="false">
      <c r="A140" s="7" t="s">
        <v>93</v>
      </c>
      <c r="B140" s="7" t="n">
        <v>44</v>
      </c>
      <c r="C140" s="7" t="s">
        <v>42</v>
      </c>
      <c r="D140" s="15"/>
      <c r="E140" s="15" t="n">
        <v>54.44</v>
      </c>
      <c r="F140" s="7" t="s">
        <v>15</v>
      </c>
    </row>
    <row r="141" customFormat="false" ht="15" hidden="false" customHeight="false" outlineLevel="0" collapsed="false">
      <c r="A141" s="7" t="s">
        <v>93</v>
      </c>
      <c r="B141" s="7" t="n">
        <v>45</v>
      </c>
      <c r="C141" s="7" t="s">
        <v>110</v>
      </c>
      <c r="D141" s="15"/>
      <c r="E141" s="15" t="n">
        <v>118.65</v>
      </c>
      <c r="F141" s="7" t="s">
        <v>25</v>
      </c>
    </row>
    <row r="142" customFormat="false" ht="15" hidden="false" customHeight="false" outlineLevel="0" collapsed="false">
      <c r="A142" s="7" t="s">
        <v>93</v>
      </c>
      <c r="B142" s="7" t="n">
        <v>46</v>
      </c>
      <c r="C142" s="7" t="s">
        <v>57</v>
      </c>
      <c r="D142" s="15"/>
      <c r="E142" s="15" t="n">
        <v>7.32</v>
      </c>
      <c r="F142" s="7" t="s">
        <v>14</v>
      </c>
    </row>
    <row r="143" customFormat="false" ht="15" hidden="false" customHeight="false" outlineLevel="0" collapsed="false">
      <c r="A143" s="7" t="s">
        <v>93</v>
      </c>
      <c r="B143" s="7" t="n">
        <v>47</v>
      </c>
      <c r="C143" s="7" t="s">
        <v>57</v>
      </c>
      <c r="D143" s="15"/>
      <c r="E143" s="15" t="n">
        <v>11.22</v>
      </c>
      <c r="F143" s="7" t="s">
        <v>14</v>
      </c>
    </row>
    <row r="144" customFormat="false" ht="15" hidden="false" customHeight="false" outlineLevel="0" collapsed="false">
      <c r="A144" s="7" t="s">
        <v>93</v>
      </c>
      <c r="B144" s="7" t="n">
        <v>48</v>
      </c>
      <c r="C144" s="7" t="s">
        <v>57</v>
      </c>
      <c r="D144" s="15"/>
      <c r="E144" s="15" t="n">
        <v>10.53</v>
      </c>
      <c r="F144" s="7" t="s">
        <v>14</v>
      </c>
    </row>
    <row r="145" customFormat="false" ht="15" hidden="false" customHeight="false" outlineLevel="0" collapsed="false">
      <c r="A145" s="7" t="s">
        <v>93</v>
      </c>
      <c r="B145" s="7" t="n">
        <v>49</v>
      </c>
      <c r="C145" s="7" t="s">
        <v>111</v>
      </c>
      <c r="D145" s="15"/>
      <c r="E145" s="15" t="n">
        <v>2271</v>
      </c>
      <c r="F145" s="7" t="s">
        <v>24</v>
      </c>
    </row>
    <row r="146" customFormat="false" ht="15" hidden="false" customHeight="false" outlineLevel="0" collapsed="false">
      <c r="A146" s="7" t="s">
        <v>93</v>
      </c>
      <c r="B146" s="7" t="n">
        <v>50</v>
      </c>
      <c r="C146" s="7" t="s">
        <v>111</v>
      </c>
      <c r="D146" s="15"/>
      <c r="E146" s="15" t="n">
        <v>680.87</v>
      </c>
      <c r="F146" s="7" t="s">
        <v>24</v>
      </c>
    </row>
    <row r="147" customFormat="false" ht="15" hidden="false" customHeight="false" outlineLevel="0" collapsed="false">
      <c r="A147" s="7" t="s">
        <v>93</v>
      </c>
      <c r="B147" s="7" t="n">
        <v>51</v>
      </c>
      <c r="C147" s="7" t="s">
        <v>98</v>
      </c>
      <c r="D147" s="15"/>
      <c r="E147" s="15" t="n">
        <v>1250</v>
      </c>
      <c r="F147" s="7" t="s">
        <v>20</v>
      </c>
    </row>
    <row r="148" customFormat="false" ht="15" hidden="false" customHeight="false" outlineLevel="0" collapsed="false">
      <c r="A148" s="7" t="s">
        <v>93</v>
      </c>
      <c r="B148" s="7" t="n">
        <v>52</v>
      </c>
      <c r="C148" s="7" t="s">
        <v>97</v>
      </c>
      <c r="D148" s="15"/>
      <c r="E148" s="15" t="n">
        <v>1250</v>
      </c>
      <c r="F148" s="7" t="s">
        <v>20</v>
      </c>
    </row>
    <row r="149" customFormat="false" ht="15" hidden="false" customHeight="false" outlineLevel="0" collapsed="false">
      <c r="A149" s="7" t="s">
        <v>93</v>
      </c>
      <c r="B149" s="7" t="n">
        <v>54</v>
      </c>
      <c r="C149" s="7" t="s">
        <v>99</v>
      </c>
      <c r="D149" s="15"/>
      <c r="E149" s="15" t="n">
        <v>9.96</v>
      </c>
      <c r="F149" s="7" t="s">
        <v>19</v>
      </c>
    </row>
    <row r="150" customFormat="false" ht="15" hidden="false" customHeight="false" outlineLevel="0" collapsed="false">
      <c r="A150" s="7" t="s">
        <v>93</v>
      </c>
      <c r="B150" s="7" t="n">
        <v>55</v>
      </c>
      <c r="C150" s="7" t="s">
        <v>112</v>
      </c>
      <c r="D150" s="15"/>
      <c r="E150" s="15" t="n">
        <v>226.02</v>
      </c>
      <c r="F150" s="7" t="s">
        <v>14</v>
      </c>
    </row>
    <row r="151" customFormat="false" ht="15" hidden="false" customHeight="false" outlineLevel="0" collapsed="false">
      <c r="A151" s="7" t="s">
        <v>93</v>
      </c>
      <c r="B151" s="7" t="n">
        <v>56</v>
      </c>
      <c r="C151" s="7" t="s">
        <v>42</v>
      </c>
      <c r="D151" s="15"/>
      <c r="E151" s="15" t="n">
        <v>58.31</v>
      </c>
      <c r="F151" s="7" t="s">
        <v>15</v>
      </c>
    </row>
    <row r="152" customFormat="false" ht="15" hidden="false" customHeight="false" outlineLevel="0" collapsed="false">
      <c r="A152" s="7" t="s">
        <v>93</v>
      </c>
      <c r="B152" s="7" t="n">
        <v>57</v>
      </c>
      <c r="C152" s="7" t="s">
        <v>113</v>
      </c>
      <c r="D152" s="15"/>
      <c r="E152" s="15" t="n">
        <v>79.95</v>
      </c>
      <c r="F152" s="7" t="s">
        <v>25</v>
      </c>
    </row>
    <row r="153" customFormat="false" ht="15" hidden="false" customHeight="false" outlineLevel="0" collapsed="false">
      <c r="A153" s="7" t="s">
        <v>93</v>
      </c>
      <c r="B153" s="7" t="n">
        <v>58</v>
      </c>
      <c r="C153" s="7" t="s">
        <v>95</v>
      </c>
      <c r="D153" s="15" t="n">
        <v>4797</v>
      </c>
      <c r="E153" s="15"/>
      <c r="F153" s="7" t="s">
        <v>10</v>
      </c>
    </row>
    <row r="154" customFormat="false" ht="15" hidden="false" customHeight="false" outlineLevel="0" collapsed="false">
      <c r="A154" s="7" t="s">
        <v>93</v>
      </c>
      <c r="B154" s="7" t="n">
        <v>59</v>
      </c>
      <c r="C154" s="7" t="s">
        <v>100</v>
      </c>
      <c r="D154" s="15"/>
      <c r="E154" s="15" t="n">
        <v>48</v>
      </c>
      <c r="F154" s="7" t="s">
        <v>25</v>
      </c>
    </row>
    <row r="155" customFormat="false" ht="15" hidden="false" customHeight="false" outlineLevel="0" collapsed="false">
      <c r="A155" s="7" t="s">
        <v>93</v>
      </c>
      <c r="B155" s="7" t="n">
        <v>60</v>
      </c>
      <c r="C155" s="7" t="s">
        <v>42</v>
      </c>
      <c r="D155" s="15"/>
      <c r="E155" s="15" t="n">
        <v>8.37</v>
      </c>
      <c r="F155" s="7" t="s">
        <v>15</v>
      </c>
    </row>
    <row r="156" customFormat="false" ht="15" hidden="false" customHeight="false" outlineLevel="0" collapsed="false">
      <c r="A156" s="7" t="s">
        <v>93</v>
      </c>
      <c r="B156" s="7" t="n">
        <v>61</v>
      </c>
      <c r="C156" s="7" t="s">
        <v>114</v>
      </c>
      <c r="D156" s="15"/>
      <c r="E156" s="15" t="n">
        <v>89.13</v>
      </c>
      <c r="F156" s="7" t="s">
        <v>20</v>
      </c>
    </row>
    <row r="157" customFormat="false" ht="15" hidden="false" customHeight="false" outlineLevel="0" collapsed="false">
      <c r="A157" s="7" t="s">
        <v>93</v>
      </c>
      <c r="B157" s="7" t="n">
        <v>62</v>
      </c>
      <c r="C157" s="7" t="s">
        <v>115</v>
      </c>
      <c r="D157" s="15" t="n">
        <v>522.75</v>
      </c>
      <c r="E157" s="15"/>
      <c r="F157" s="7" t="s">
        <v>10</v>
      </c>
    </row>
    <row r="158" customFormat="false" ht="15" hidden="false" customHeight="false" outlineLevel="0" collapsed="false">
      <c r="A158" s="7" t="s">
        <v>93</v>
      </c>
      <c r="B158" s="7" t="n">
        <v>63</v>
      </c>
      <c r="C158" s="7" t="s">
        <v>116</v>
      </c>
      <c r="D158" s="15"/>
      <c r="E158" s="15" t="n">
        <v>11.43</v>
      </c>
      <c r="F158" s="7" t="s">
        <v>25</v>
      </c>
    </row>
    <row r="159" customFormat="false" ht="15" hidden="false" customHeight="false" outlineLevel="0" collapsed="false">
      <c r="A159" s="7" t="s">
        <v>93</v>
      </c>
      <c r="B159" s="7" t="n">
        <v>64</v>
      </c>
      <c r="C159" s="7" t="s">
        <v>117</v>
      </c>
      <c r="D159" s="15"/>
      <c r="E159" s="15" t="n">
        <v>976.43</v>
      </c>
      <c r="F159" s="7" t="s">
        <v>25</v>
      </c>
    </row>
    <row r="160" customFormat="false" ht="15" hidden="false" customHeight="false" outlineLevel="0" collapsed="false">
      <c r="A160" s="7" t="s">
        <v>93</v>
      </c>
      <c r="B160" s="7" t="n">
        <v>65</v>
      </c>
      <c r="C160" s="7" t="s">
        <v>62</v>
      </c>
      <c r="D160" s="15"/>
      <c r="E160" s="15" t="n">
        <v>147.63</v>
      </c>
      <c r="F160" s="7" t="s">
        <v>23</v>
      </c>
    </row>
    <row r="161" customFormat="false" ht="15" hidden="false" customHeight="false" outlineLevel="0" collapsed="false">
      <c r="A161" s="7" t="s">
        <v>93</v>
      </c>
      <c r="B161" s="7" t="n">
        <v>66</v>
      </c>
      <c r="C161" s="7" t="s">
        <v>118</v>
      </c>
      <c r="D161" s="15"/>
      <c r="E161" s="15" t="n">
        <v>513.22</v>
      </c>
      <c r="F161" s="7" t="s">
        <v>14</v>
      </c>
    </row>
    <row r="162" customFormat="false" ht="15" hidden="false" customHeight="false" outlineLevel="0" collapsed="false">
      <c r="A162" s="7" t="s">
        <v>93</v>
      </c>
      <c r="B162" s="7" t="n">
        <v>67</v>
      </c>
      <c r="C162" s="7" t="s">
        <v>118</v>
      </c>
      <c r="D162" s="15"/>
      <c r="E162" s="15" t="n">
        <v>2309.89</v>
      </c>
      <c r="F162" s="7" t="s">
        <v>14</v>
      </c>
    </row>
    <row r="163" customFormat="false" ht="15" hidden="false" customHeight="false" outlineLevel="0" collapsed="false">
      <c r="A163" s="7" t="s">
        <v>93</v>
      </c>
      <c r="B163" s="7" t="n">
        <v>68</v>
      </c>
      <c r="C163" s="7" t="s">
        <v>39</v>
      </c>
      <c r="D163" s="15"/>
      <c r="E163" s="15" t="n">
        <v>246</v>
      </c>
      <c r="F163" s="7" t="s">
        <v>19</v>
      </c>
    </row>
    <row r="164" customFormat="false" ht="15" hidden="false" customHeight="false" outlineLevel="0" collapsed="false">
      <c r="A164" s="7" t="s">
        <v>93</v>
      </c>
      <c r="B164" s="7" t="n">
        <v>69</v>
      </c>
      <c r="C164" s="7" t="s">
        <v>65</v>
      </c>
      <c r="D164" s="15"/>
      <c r="E164" s="15" t="n">
        <v>2546.34</v>
      </c>
      <c r="F164" s="7" t="s">
        <v>21</v>
      </c>
    </row>
    <row r="165" customFormat="false" ht="15" hidden="false" customHeight="false" outlineLevel="0" collapsed="false">
      <c r="A165" s="7" t="s">
        <v>93</v>
      </c>
      <c r="B165" s="7" t="n">
        <v>70</v>
      </c>
      <c r="C165" s="7" t="s">
        <v>119</v>
      </c>
      <c r="D165" s="15"/>
      <c r="E165" s="15" t="n">
        <v>5534.7</v>
      </c>
      <c r="F165" s="7" t="s">
        <v>14</v>
      </c>
    </row>
    <row r="166" customFormat="false" ht="15" hidden="false" customHeight="false" outlineLevel="0" collapsed="false">
      <c r="A166" s="7" t="s">
        <v>93</v>
      </c>
      <c r="B166" s="7" t="n">
        <v>71</v>
      </c>
      <c r="C166" s="7" t="s">
        <v>111</v>
      </c>
      <c r="D166" s="15"/>
      <c r="E166" s="15" t="n">
        <v>629</v>
      </c>
      <c r="F166" s="7" t="s">
        <v>24</v>
      </c>
    </row>
    <row r="167" customFormat="false" ht="15" hidden="false" customHeight="false" outlineLevel="0" collapsed="false">
      <c r="A167" s="7" t="s">
        <v>93</v>
      </c>
      <c r="B167" s="7" t="n">
        <v>72</v>
      </c>
      <c r="C167" s="7" t="s">
        <v>76</v>
      </c>
      <c r="D167" s="15"/>
      <c r="E167" s="15" t="n">
        <v>1544.64</v>
      </c>
      <c r="F167" s="7" t="s">
        <v>21</v>
      </c>
    </row>
    <row r="168" customFormat="false" ht="15" hidden="false" customHeight="false" outlineLevel="0" collapsed="false">
      <c r="A168" s="7" t="s">
        <v>93</v>
      </c>
      <c r="B168" s="7" t="n">
        <v>73</v>
      </c>
      <c r="C168" s="7" t="s">
        <v>76</v>
      </c>
      <c r="D168" s="15"/>
      <c r="E168" s="15" t="n">
        <v>1543.66</v>
      </c>
      <c r="F168" s="7" t="s">
        <v>21</v>
      </c>
    </row>
    <row r="169" customFormat="false" ht="15" hidden="false" customHeight="false" outlineLevel="0" collapsed="false">
      <c r="A169" s="7" t="s">
        <v>93</v>
      </c>
      <c r="B169" s="7" t="n">
        <v>74</v>
      </c>
      <c r="C169" s="7" t="s">
        <v>76</v>
      </c>
      <c r="D169" s="15"/>
      <c r="E169" s="15" t="n">
        <v>1</v>
      </c>
      <c r="F169" s="7" t="s">
        <v>21</v>
      </c>
    </row>
    <row r="170" customFormat="false" ht="15" hidden="false" customHeight="false" outlineLevel="0" collapsed="false">
      <c r="A170" s="7" t="s">
        <v>93</v>
      </c>
      <c r="B170" s="7" t="n">
        <v>75</v>
      </c>
      <c r="C170" s="7" t="s">
        <v>120</v>
      </c>
      <c r="D170" s="15"/>
      <c r="E170" s="15" t="n">
        <v>564</v>
      </c>
      <c r="F170" s="7" t="s">
        <v>15</v>
      </c>
    </row>
    <row r="171" customFormat="false" ht="15" hidden="false" customHeight="false" outlineLevel="0" collapsed="false">
      <c r="A171" s="7" t="s">
        <v>93</v>
      </c>
      <c r="B171" s="7" t="n">
        <v>76</v>
      </c>
      <c r="C171" s="7" t="s">
        <v>65</v>
      </c>
      <c r="D171" s="15"/>
      <c r="E171" s="15" t="n">
        <v>2546.35</v>
      </c>
      <c r="F171" s="7" t="s">
        <v>21</v>
      </c>
    </row>
    <row r="172" customFormat="false" ht="15" hidden="false" customHeight="false" outlineLevel="0" collapsed="false">
      <c r="A172" s="7" t="s">
        <v>121</v>
      </c>
      <c r="B172" s="7" t="n">
        <v>4</v>
      </c>
      <c r="C172" s="7" t="s">
        <v>122</v>
      </c>
      <c r="D172" s="15"/>
      <c r="E172" s="15" t="n">
        <v>1250</v>
      </c>
      <c r="F172" s="7" t="s">
        <v>20</v>
      </c>
    </row>
    <row r="173" customFormat="false" ht="15" hidden="false" customHeight="false" outlineLevel="0" collapsed="false">
      <c r="A173" s="7" t="s">
        <v>121</v>
      </c>
      <c r="B173" s="7" t="n">
        <v>5</v>
      </c>
      <c r="C173" s="7" t="s">
        <v>123</v>
      </c>
      <c r="D173" s="15"/>
      <c r="E173" s="15" t="n">
        <v>1250</v>
      </c>
      <c r="F173" s="7" t="s">
        <v>20</v>
      </c>
    </row>
    <row r="174" customFormat="false" ht="15" hidden="false" customHeight="false" outlineLevel="0" collapsed="false">
      <c r="A174" s="7" t="s">
        <v>121</v>
      </c>
      <c r="B174" s="7" t="n">
        <v>6</v>
      </c>
      <c r="C174" s="7" t="s">
        <v>124</v>
      </c>
      <c r="D174" s="15"/>
      <c r="E174" s="15" t="n">
        <v>48</v>
      </c>
      <c r="F174" s="7" t="s">
        <v>25</v>
      </c>
    </row>
    <row r="175" customFormat="false" ht="15" hidden="false" customHeight="false" outlineLevel="0" collapsed="false">
      <c r="A175" s="7" t="s">
        <v>121</v>
      </c>
      <c r="B175" s="7" t="n">
        <v>7</v>
      </c>
      <c r="C175" s="7" t="s">
        <v>125</v>
      </c>
      <c r="D175" s="15"/>
      <c r="E175" s="15" t="n">
        <v>9.96</v>
      </c>
      <c r="F175" s="7" t="s">
        <v>19</v>
      </c>
    </row>
    <row r="176" customFormat="false" ht="15" hidden="false" customHeight="false" outlineLevel="0" collapsed="false">
      <c r="A176" s="7" t="s">
        <v>121</v>
      </c>
      <c r="B176" s="7" t="n">
        <v>8</v>
      </c>
      <c r="C176" s="7" t="s">
        <v>126</v>
      </c>
      <c r="D176" s="15"/>
      <c r="E176" s="15" t="n">
        <v>134.39</v>
      </c>
      <c r="F176" s="7" t="s">
        <v>14</v>
      </c>
    </row>
    <row r="177" customFormat="false" ht="15" hidden="false" customHeight="false" outlineLevel="0" collapsed="false">
      <c r="A177" s="7" t="s">
        <v>121</v>
      </c>
      <c r="B177" s="7" t="n">
        <v>9</v>
      </c>
      <c r="C177" s="7" t="s">
        <v>127</v>
      </c>
      <c r="D177" s="15"/>
      <c r="E177" s="15" t="n">
        <v>526.54</v>
      </c>
      <c r="F177" s="7" t="s">
        <v>14</v>
      </c>
    </row>
    <row r="178" customFormat="false" ht="15" hidden="false" customHeight="false" outlineLevel="0" collapsed="false">
      <c r="A178" s="7" t="s">
        <v>121</v>
      </c>
      <c r="B178" s="7" t="n">
        <v>10</v>
      </c>
      <c r="C178" s="7" t="s">
        <v>128</v>
      </c>
      <c r="D178" s="15"/>
      <c r="E178" s="15" t="n">
        <v>360</v>
      </c>
      <c r="F178" s="7" t="s">
        <v>23</v>
      </c>
    </row>
    <row r="179" customFormat="false" ht="15" hidden="false" customHeight="false" outlineLevel="0" collapsed="false">
      <c r="A179" s="7" t="s">
        <v>121</v>
      </c>
      <c r="B179" s="7" t="n">
        <v>11</v>
      </c>
      <c r="C179" s="7" t="s">
        <v>129</v>
      </c>
      <c r="D179" s="15"/>
      <c r="E179" s="15" t="n">
        <v>38.95</v>
      </c>
      <c r="F179" s="7" t="s">
        <v>23</v>
      </c>
    </row>
    <row r="180" customFormat="false" ht="15" hidden="false" customHeight="false" outlineLevel="0" collapsed="false">
      <c r="A180" s="7" t="s">
        <v>121</v>
      </c>
      <c r="B180" s="7" t="n">
        <v>12</v>
      </c>
      <c r="C180" s="7" t="s">
        <v>130</v>
      </c>
      <c r="D180" s="15"/>
      <c r="E180" s="15" t="n">
        <v>154</v>
      </c>
      <c r="F180" s="7" t="s">
        <v>25</v>
      </c>
    </row>
    <row r="181" customFormat="false" ht="15" hidden="false" customHeight="false" outlineLevel="0" collapsed="false">
      <c r="A181" s="7" t="s">
        <v>121</v>
      </c>
      <c r="B181" s="7" t="n">
        <v>13</v>
      </c>
      <c r="C181" s="7" t="s">
        <v>131</v>
      </c>
      <c r="D181" s="15"/>
      <c r="E181" s="15" t="n">
        <v>20</v>
      </c>
      <c r="F181" s="7" t="s">
        <v>22</v>
      </c>
    </row>
    <row r="182" customFormat="false" ht="15" hidden="false" customHeight="false" outlineLevel="0" collapsed="false">
      <c r="A182" s="7" t="s">
        <v>121</v>
      </c>
      <c r="B182" s="7" t="n">
        <v>14</v>
      </c>
      <c r="C182" s="7" t="s">
        <v>132</v>
      </c>
      <c r="D182" s="15"/>
      <c r="E182" s="15" t="n">
        <v>53.23</v>
      </c>
      <c r="F182" s="7" t="s">
        <v>23</v>
      </c>
    </row>
    <row r="183" customFormat="false" ht="15" hidden="false" customHeight="false" outlineLevel="0" collapsed="false">
      <c r="A183" s="7" t="s">
        <v>121</v>
      </c>
      <c r="B183" s="7" t="n">
        <v>15</v>
      </c>
      <c r="C183" s="7" t="s">
        <v>133</v>
      </c>
      <c r="D183" s="15"/>
      <c r="E183" s="15" t="n">
        <v>246</v>
      </c>
      <c r="F183" s="7" t="s">
        <v>19</v>
      </c>
    </row>
    <row r="184" customFormat="false" ht="15" hidden="false" customHeight="false" outlineLevel="0" collapsed="false">
      <c r="A184" s="7" t="s">
        <v>121</v>
      </c>
      <c r="B184" s="7" t="n">
        <v>16</v>
      </c>
      <c r="C184" s="7" t="s">
        <v>134</v>
      </c>
      <c r="D184" s="15"/>
      <c r="E184" s="15" t="n">
        <v>563.34</v>
      </c>
      <c r="F184" s="7" t="s">
        <v>14</v>
      </c>
    </row>
    <row r="185" customFormat="false" ht="15" hidden="false" customHeight="false" outlineLevel="0" collapsed="false">
      <c r="A185" s="7" t="s">
        <v>121</v>
      </c>
      <c r="B185" s="7" t="n">
        <v>17</v>
      </c>
      <c r="C185" s="7" t="s">
        <v>135</v>
      </c>
      <c r="D185" s="15"/>
      <c r="E185" s="15" t="n">
        <v>5070</v>
      </c>
      <c r="F185" s="7" t="s">
        <v>24</v>
      </c>
    </row>
    <row r="186" customFormat="false" ht="15" hidden="false" customHeight="false" outlineLevel="0" collapsed="false">
      <c r="A186" s="7" t="s">
        <v>121</v>
      </c>
      <c r="B186" s="7" t="n">
        <v>18</v>
      </c>
      <c r="C186" s="7" t="s">
        <v>130</v>
      </c>
      <c r="D186" s="15"/>
      <c r="E186" s="15" t="n">
        <v>100.8</v>
      </c>
      <c r="F186" s="7" t="s">
        <v>25</v>
      </c>
    </row>
    <row r="187" customFormat="false" ht="15" hidden="false" customHeight="false" outlineLevel="0" collapsed="false">
      <c r="A187" s="7" t="s">
        <v>121</v>
      </c>
      <c r="B187" s="7" t="n">
        <v>19</v>
      </c>
      <c r="C187" s="7" t="s">
        <v>135</v>
      </c>
      <c r="D187" s="15"/>
      <c r="E187" s="15" t="n">
        <v>629.01</v>
      </c>
      <c r="F187" s="7" t="s">
        <v>24</v>
      </c>
    </row>
    <row r="188" customFormat="false" ht="15" hidden="false" customHeight="false" outlineLevel="0" collapsed="false">
      <c r="A188" s="7" t="s">
        <v>121</v>
      </c>
      <c r="B188" s="7" t="n">
        <v>20</v>
      </c>
      <c r="C188" s="7" t="s">
        <v>136</v>
      </c>
      <c r="D188" s="15"/>
      <c r="E188" s="15" t="n">
        <v>1230</v>
      </c>
      <c r="F188" s="7" t="s">
        <v>14</v>
      </c>
    </row>
    <row r="189" customFormat="false" ht="15" hidden="false" customHeight="false" outlineLevel="0" collapsed="false">
      <c r="A189" s="7" t="s">
        <v>121</v>
      </c>
      <c r="B189" s="7" t="n">
        <v>21</v>
      </c>
      <c r="C189" s="7" t="s">
        <v>137</v>
      </c>
      <c r="D189" s="15"/>
      <c r="E189" s="15" t="n">
        <v>36.32</v>
      </c>
      <c r="F189" s="7" t="s">
        <v>14</v>
      </c>
    </row>
    <row r="190" customFormat="false" ht="15" hidden="false" customHeight="false" outlineLevel="0" collapsed="false">
      <c r="A190" s="7" t="s">
        <v>121</v>
      </c>
      <c r="B190" s="7" t="n">
        <v>22</v>
      </c>
      <c r="C190" s="7" t="s">
        <v>138</v>
      </c>
      <c r="D190" s="15" t="n">
        <v>35590.05</v>
      </c>
      <c r="E190" s="15"/>
      <c r="F190" s="7" t="s">
        <v>10</v>
      </c>
    </row>
    <row r="191" customFormat="false" ht="15" hidden="false" customHeight="false" outlineLevel="0" collapsed="false">
      <c r="A191" s="7" t="s">
        <v>121</v>
      </c>
      <c r="B191" s="7" t="n">
        <v>23</v>
      </c>
      <c r="C191" s="7" t="s">
        <v>139</v>
      </c>
      <c r="D191" s="15"/>
      <c r="E191" s="15" t="n">
        <v>249.66</v>
      </c>
      <c r="F191" s="7" t="s">
        <v>10</v>
      </c>
    </row>
    <row r="192" customFormat="false" ht="15" hidden="false" customHeight="false" outlineLevel="0" collapsed="false">
      <c r="A192" s="7" t="s">
        <v>121</v>
      </c>
      <c r="B192" s="7" t="n">
        <v>24</v>
      </c>
      <c r="C192" s="7" t="s">
        <v>139</v>
      </c>
      <c r="D192" s="15"/>
      <c r="E192" s="15" t="n">
        <v>187.54</v>
      </c>
      <c r="F192" s="7" t="s">
        <v>10</v>
      </c>
    </row>
    <row r="193" customFormat="false" ht="15" hidden="false" customHeight="false" outlineLevel="0" collapsed="false">
      <c r="A193" s="7" t="s">
        <v>121</v>
      </c>
      <c r="B193" s="7" t="n">
        <v>25</v>
      </c>
      <c r="C193" s="7" t="s">
        <v>122</v>
      </c>
      <c r="D193" s="15"/>
      <c r="E193" s="15" t="n">
        <v>1250</v>
      </c>
      <c r="F193" s="7" t="s">
        <v>20</v>
      </c>
    </row>
    <row r="194" customFormat="false" ht="15" hidden="false" customHeight="false" outlineLevel="0" collapsed="false">
      <c r="A194" s="7" t="s">
        <v>121</v>
      </c>
      <c r="B194" s="7" t="n">
        <v>26</v>
      </c>
      <c r="C194" s="7" t="s">
        <v>123</v>
      </c>
      <c r="D194" s="15"/>
      <c r="E194" s="15" t="n">
        <v>1250</v>
      </c>
      <c r="F194" s="7" t="s">
        <v>20</v>
      </c>
    </row>
    <row r="195" customFormat="false" ht="15" hidden="false" customHeight="false" outlineLevel="0" collapsed="false">
      <c r="A195" s="7" t="s">
        <v>121</v>
      </c>
      <c r="B195" s="7" t="n">
        <v>27</v>
      </c>
      <c r="C195" s="7" t="s">
        <v>140</v>
      </c>
      <c r="D195" s="15"/>
      <c r="E195" s="15" t="n">
        <v>75.57</v>
      </c>
      <c r="F195" s="7" t="s">
        <v>15</v>
      </c>
    </row>
    <row r="196" customFormat="false" ht="15" hidden="false" customHeight="false" outlineLevel="0" collapsed="false">
      <c r="A196" s="7" t="s">
        <v>121</v>
      </c>
      <c r="B196" s="7" t="n">
        <v>28</v>
      </c>
      <c r="C196" s="7" t="s">
        <v>125</v>
      </c>
      <c r="D196" s="15"/>
      <c r="E196" s="15" t="n">
        <v>9.96</v>
      </c>
      <c r="F196" s="7" t="s">
        <v>19</v>
      </c>
    </row>
    <row r="197" customFormat="false" ht="15" hidden="false" customHeight="false" outlineLevel="0" collapsed="false">
      <c r="A197" s="7" t="s">
        <v>121</v>
      </c>
      <c r="B197" s="7" t="n">
        <v>29</v>
      </c>
      <c r="C197" s="7" t="s">
        <v>141</v>
      </c>
      <c r="D197" s="15"/>
      <c r="E197" s="15" t="n">
        <v>124.96</v>
      </c>
      <c r="F197" s="7" t="s">
        <v>25</v>
      </c>
    </row>
    <row r="198" customFormat="false" ht="15" hidden="false" customHeight="false" outlineLevel="0" collapsed="false">
      <c r="A198" s="7" t="s">
        <v>121</v>
      </c>
      <c r="B198" s="7" t="n">
        <v>30</v>
      </c>
      <c r="C198" s="7" t="s">
        <v>142</v>
      </c>
      <c r="D198" s="15" t="n">
        <v>34436.31</v>
      </c>
      <c r="E198" s="15"/>
      <c r="F198" s="7" t="s">
        <v>10</v>
      </c>
    </row>
    <row r="199" customFormat="false" ht="15" hidden="false" customHeight="false" outlineLevel="0" collapsed="false">
      <c r="A199" s="7" t="s">
        <v>121</v>
      </c>
      <c r="B199" s="7" t="n">
        <v>31</v>
      </c>
      <c r="C199" s="7" t="s">
        <v>124</v>
      </c>
      <c r="D199" s="15"/>
      <c r="E199" s="15" t="n">
        <v>48</v>
      </c>
      <c r="F199" s="7" t="s">
        <v>25</v>
      </c>
    </row>
    <row r="200" customFormat="false" ht="15" hidden="false" customHeight="false" outlineLevel="0" collapsed="false">
      <c r="A200" s="7" t="s">
        <v>121</v>
      </c>
      <c r="B200" s="7" t="n">
        <v>32</v>
      </c>
      <c r="C200" s="7" t="s">
        <v>134</v>
      </c>
      <c r="D200" s="15"/>
      <c r="E200" s="15" t="n">
        <v>396.68</v>
      </c>
      <c r="F200" s="7" t="s">
        <v>14</v>
      </c>
    </row>
    <row r="201" customFormat="false" ht="15" hidden="false" customHeight="false" outlineLevel="0" collapsed="false">
      <c r="A201" s="7" t="s">
        <v>121</v>
      </c>
      <c r="B201" s="7" t="n">
        <v>33</v>
      </c>
      <c r="C201" s="7" t="s">
        <v>139</v>
      </c>
      <c r="D201" s="15" t="n">
        <v>187.54</v>
      </c>
      <c r="E201" s="15"/>
      <c r="F201" s="7" t="s">
        <v>10</v>
      </c>
    </row>
    <row r="202" customFormat="false" ht="15" hidden="false" customHeight="false" outlineLevel="0" collapsed="false">
      <c r="A202" s="7" t="s">
        <v>121</v>
      </c>
      <c r="B202" s="7" t="n">
        <v>34</v>
      </c>
      <c r="C202" s="7" t="s">
        <v>139</v>
      </c>
      <c r="D202" s="15"/>
      <c r="E202" s="15" t="n">
        <v>357.81</v>
      </c>
      <c r="F202" s="7" t="s">
        <v>10</v>
      </c>
    </row>
    <row r="203" customFormat="false" ht="15" hidden="false" customHeight="false" outlineLevel="0" collapsed="false">
      <c r="A203" s="7" t="s">
        <v>121</v>
      </c>
      <c r="B203" s="7" t="n">
        <v>35</v>
      </c>
      <c r="C203" s="7" t="s">
        <v>139</v>
      </c>
      <c r="D203" s="15"/>
      <c r="E203" s="15" t="n">
        <v>200</v>
      </c>
      <c r="F203" s="7" t="s">
        <v>10</v>
      </c>
    </row>
    <row r="204" customFormat="false" ht="15" hidden="false" customHeight="false" outlineLevel="0" collapsed="false">
      <c r="A204" s="7" t="s">
        <v>121</v>
      </c>
      <c r="B204" s="7" t="n">
        <v>36</v>
      </c>
      <c r="C204" s="7" t="s">
        <v>143</v>
      </c>
      <c r="D204" s="15"/>
      <c r="E204" s="15" t="n">
        <v>243.26</v>
      </c>
      <c r="F204" s="7" t="s">
        <v>15</v>
      </c>
    </row>
    <row r="205" customFormat="false" ht="15" hidden="false" customHeight="false" outlineLevel="0" collapsed="false">
      <c r="A205" s="7" t="s">
        <v>121</v>
      </c>
      <c r="B205" s="7" t="n">
        <v>37</v>
      </c>
      <c r="C205" s="7" t="s">
        <v>132</v>
      </c>
      <c r="D205" s="15"/>
      <c r="E205" s="15" t="n">
        <v>186.83</v>
      </c>
      <c r="F205" s="7" t="s">
        <v>23</v>
      </c>
    </row>
    <row r="206" customFormat="false" ht="15" hidden="false" customHeight="false" outlineLevel="0" collapsed="false">
      <c r="A206" s="7" t="s">
        <v>121</v>
      </c>
      <c r="B206" s="7" t="n">
        <v>38</v>
      </c>
      <c r="C206" s="7" t="s">
        <v>144</v>
      </c>
      <c r="D206" s="15"/>
      <c r="E206" s="15" t="n">
        <v>1</v>
      </c>
      <c r="F206" s="7" t="s">
        <v>25</v>
      </c>
    </row>
    <row r="207" customFormat="false" ht="15" hidden="false" customHeight="false" outlineLevel="0" collapsed="false">
      <c r="A207" s="7" t="s">
        <v>121</v>
      </c>
      <c r="B207" s="7" t="n">
        <v>39</v>
      </c>
      <c r="C207" s="7" t="s">
        <v>139</v>
      </c>
      <c r="D207" s="15"/>
      <c r="E207" s="15" t="n">
        <v>84.49</v>
      </c>
      <c r="F207" s="7" t="s">
        <v>10</v>
      </c>
    </row>
    <row r="208" customFormat="false" ht="15" hidden="false" customHeight="false" outlineLevel="0" collapsed="false">
      <c r="A208" s="7" t="s">
        <v>121</v>
      </c>
      <c r="B208" s="7" t="n">
        <v>40</v>
      </c>
      <c r="C208" s="7" t="s">
        <v>139</v>
      </c>
      <c r="D208" s="15"/>
      <c r="E208" s="15" t="n">
        <v>174</v>
      </c>
      <c r="F208" s="7" t="s">
        <v>10</v>
      </c>
    </row>
    <row r="209" customFormat="false" ht="15" hidden="false" customHeight="false" outlineLevel="0" collapsed="false">
      <c r="A209" s="7" t="s">
        <v>121</v>
      </c>
      <c r="B209" s="7" t="n">
        <v>41</v>
      </c>
      <c r="C209" s="7" t="s">
        <v>145</v>
      </c>
      <c r="D209" s="15"/>
      <c r="E209" s="15" t="n">
        <v>36.12</v>
      </c>
      <c r="F209" s="7" t="s">
        <v>25</v>
      </c>
    </row>
    <row r="210" customFormat="false" ht="15" hidden="false" customHeight="false" outlineLevel="0" collapsed="false">
      <c r="A210" s="7" t="s">
        <v>121</v>
      </c>
      <c r="B210" s="7" t="n">
        <v>42</v>
      </c>
      <c r="C210" s="7" t="s">
        <v>146</v>
      </c>
      <c r="D210" s="15"/>
      <c r="E210" s="15" t="n">
        <v>223.9</v>
      </c>
      <c r="F210" s="7" t="s">
        <v>15</v>
      </c>
    </row>
    <row r="211" customFormat="false" ht="15" hidden="false" customHeight="false" outlineLevel="0" collapsed="false">
      <c r="A211" s="7" t="s">
        <v>121</v>
      </c>
      <c r="B211" s="7" t="n">
        <v>43</v>
      </c>
      <c r="C211" s="7" t="s">
        <v>147</v>
      </c>
      <c r="D211" s="15" t="n">
        <v>1045.5</v>
      </c>
      <c r="E211" s="15"/>
      <c r="F211" s="7" t="s">
        <v>10</v>
      </c>
    </row>
    <row r="212" customFormat="false" ht="15" hidden="false" customHeight="false" outlineLevel="0" collapsed="false">
      <c r="A212" s="7" t="s">
        <v>121</v>
      </c>
      <c r="B212" s="7" t="n">
        <v>44</v>
      </c>
      <c r="C212" s="7" t="s">
        <v>135</v>
      </c>
      <c r="D212" s="15"/>
      <c r="E212" s="15" t="n">
        <v>642.34</v>
      </c>
      <c r="F212" s="7" t="s">
        <v>24</v>
      </c>
    </row>
    <row r="213" customFormat="false" ht="15" hidden="false" customHeight="false" outlineLevel="0" collapsed="false">
      <c r="A213" s="7" t="s">
        <v>121</v>
      </c>
      <c r="B213" s="7" t="n">
        <v>45</v>
      </c>
      <c r="C213" s="7" t="s">
        <v>148</v>
      </c>
      <c r="D213" s="15"/>
      <c r="E213" s="15" t="n">
        <v>1250</v>
      </c>
      <c r="F213" s="7" t="s">
        <v>20</v>
      </c>
    </row>
    <row r="214" customFormat="false" ht="15" hidden="false" customHeight="false" outlineLevel="0" collapsed="false">
      <c r="A214" s="7" t="s">
        <v>121</v>
      </c>
      <c r="B214" s="7" t="n">
        <v>46</v>
      </c>
      <c r="C214" s="7" t="s">
        <v>148</v>
      </c>
      <c r="D214" s="15"/>
      <c r="E214" s="15" t="n">
        <v>1250</v>
      </c>
      <c r="F214" s="7" t="s">
        <v>20</v>
      </c>
    </row>
    <row r="215" customFormat="false" ht="15" hidden="false" customHeight="false" outlineLevel="0" collapsed="false">
      <c r="A215" s="7" t="s">
        <v>121</v>
      </c>
      <c r="B215" s="7" t="n">
        <v>47</v>
      </c>
      <c r="C215" s="7" t="s">
        <v>148</v>
      </c>
      <c r="D215" s="15"/>
      <c r="E215" s="15" t="n">
        <v>48</v>
      </c>
      <c r="F215" s="7" t="s">
        <v>25</v>
      </c>
    </row>
    <row r="216" customFormat="false" ht="15" hidden="false" customHeight="false" outlineLevel="0" collapsed="false">
      <c r="A216" s="7" t="s">
        <v>121</v>
      </c>
      <c r="B216" s="7" t="n">
        <v>48</v>
      </c>
      <c r="C216" s="7" t="s">
        <v>148</v>
      </c>
      <c r="D216" s="15"/>
      <c r="E216" s="15" t="n">
        <v>199.9</v>
      </c>
      <c r="F216" s="7" t="s">
        <v>149</v>
      </c>
    </row>
    <row r="217" customFormat="false" ht="15" hidden="false" customHeight="false" outlineLevel="0" collapsed="false">
      <c r="A217" s="7" t="s">
        <v>121</v>
      </c>
      <c r="B217" s="7" t="n">
        <v>49</v>
      </c>
      <c r="C217" s="7" t="s">
        <v>148</v>
      </c>
      <c r="D217" s="15"/>
      <c r="E217" s="15" t="n">
        <v>9.96</v>
      </c>
      <c r="F217" s="7" t="s">
        <v>19</v>
      </c>
    </row>
    <row r="218" customFormat="false" ht="15" hidden="false" customHeight="false" outlineLevel="0" collapsed="false">
      <c r="A218" s="7" t="s">
        <v>121</v>
      </c>
      <c r="B218" s="7" t="n">
        <v>50</v>
      </c>
      <c r="C218" s="7" t="s">
        <v>148</v>
      </c>
      <c r="D218" s="15"/>
      <c r="E218" s="15" t="n">
        <v>121.46</v>
      </c>
      <c r="F218" s="7" t="s">
        <v>149</v>
      </c>
    </row>
    <row r="219" customFormat="false" ht="15" hidden="false" customHeight="false" outlineLevel="0" collapsed="false">
      <c r="A219" s="7" t="s">
        <v>121</v>
      </c>
      <c r="B219" s="7" t="n">
        <v>51</v>
      </c>
      <c r="C219" s="7" t="s">
        <v>148</v>
      </c>
      <c r="D219" s="15" t="n">
        <v>2071.32</v>
      </c>
      <c r="E219" s="15"/>
      <c r="F219" s="7" t="s">
        <v>149</v>
      </c>
    </row>
    <row r="220" customFormat="false" ht="15" hidden="false" customHeight="false" outlineLevel="0" collapsed="false">
      <c r="A220" s="7" t="s">
        <v>121</v>
      </c>
      <c r="B220" s="7" t="n">
        <v>52</v>
      </c>
      <c r="C220" s="7" t="s">
        <v>148</v>
      </c>
      <c r="D220" s="15"/>
      <c r="E220" s="15" t="n">
        <v>6.97</v>
      </c>
      <c r="F220" s="7" t="s">
        <v>149</v>
      </c>
    </row>
    <row r="221" customFormat="false" ht="15" hidden="false" customHeight="false" outlineLevel="0" collapsed="false">
      <c r="A221" s="7" t="s">
        <v>121</v>
      </c>
      <c r="B221" s="7" t="n">
        <v>53</v>
      </c>
      <c r="C221" s="7" t="s">
        <v>148</v>
      </c>
      <c r="D221" s="15"/>
      <c r="E221" s="15" t="n">
        <v>348.45</v>
      </c>
      <c r="F221" s="7" t="s">
        <v>149</v>
      </c>
    </row>
    <row r="222" customFormat="false" ht="15" hidden="false" customHeight="false" outlineLevel="0" collapsed="false">
      <c r="A222" s="7" t="s">
        <v>121</v>
      </c>
      <c r="B222" s="7" t="n">
        <v>54</v>
      </c>
      <c r="C222" s="7" t="s">
        <v>148</v>
      </c>
      <c r="D222" s="15"/>
      <c r="E222" s="15" t="n">
        <v>246</v>
      </c>
      <c r="F222" s="7" t="s">
        <v>19</v>
      </c>
    </row>
    <row r="223" customFormat="false" ht="15" hidden="false" customHeight="false" outlineLevel="0" collapsed="false">
      <c r="A223" s="7" t="s">
        <v>121</v>
      </c>
      <c r="B223" s="7" t="n">
        <v>55</v>
      </c>
      <c r="C223" s="7" t="s">
        <v>148</v>
      </c>
      <c r="D223" s="15"/>
      <c r="E223" s="15" t="n">
        <v>53.47</v>
      </c>
      <c r="F223" s="7" t="s">
        <v>149</v>
      </c>
    </row>
    <row r="225" customFormat="false" ht="45" hidden="false" customHeight="true" outlineLevel="0" collapsed="false">
      <c r="A225" s="16" t="s">
        <v>150</v>
      </c>
      <c r="B225" s="16"/>
      <c r="C225" s="16"/>
      <c r="D225" s="16"/>
      <c r="E225" s="16"/>
      <c r="F225" s="16"/>
    </row>
  </sheetData>
  <mergeCells count="1">
    <mergeCell ref="A225:F2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123"/>
  <sheetViews>
    <sheetView showFormulas="false" showGridLines="true" showRowColHeaders="true" showZeros="true" rightToLeft="false" tabSelected="false" showOutlineSymbols="true" defaultGridColor="true" view="normal" topLeftCell="AR1" colorId="64" zoomScale="100" zoomScaleNormal="100" zoomScalePageLayoutView="100" workbookViewId="0">
      <selection pane="topLeft" activeCell="W77" activeCellId="0" sqref="W77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.57"/>
    <col collapsed="false" customWidth="true" hidden="false" outlineLevel="0" max="2" min="2" style="0" width="5.43"/>
    <col collapsed="false" customWidth="true" hidden="false" outlineLevel="0" max="3" min="3" style="0" width="18.29"/>
    <col collapsed="false" customWidth="true" hidden="false" outlineLevel="0" max="6" min="4" style="0" width="11.57"/>
    <col collapsed="false" customWidth="true" hidden="false" outlineLevel="0" max="7" min="7" style="0" width="1.57"/>
    <col collapsed="false" customWidth="true" hidden="false" outlineLevel="0" max="8" min="8" style="0" width="5.71"/>
    <col collapsed="false" customWidth="true" hidden="false" outlineLevel="0" max="9" min="9" style="0" width="19.71"/>
    <col collapsed="false" customWidth="true" hidden="false" outlineLevel="0" max="12" min="10" style="0" width="11.57"/>
    <col collapsed="false" customWidth="true" hidden="false" outlineLevel="0" max="13" min="13" style="0" width="1.57"/>
    <col collapsed="false" customWidth="true" hidden="false" outlineLevel="0" max="14" min="14" style="0" width="21.71"/>
    <col collapsed="false" customWidth="true" hidden="false" outlineLevel="0" max="15" min="15" style="0" width="19.86"/>
    <col collapsed="false" customWidth="true" hidden="false" outlineLevel="0" max="17" min="16" style="0" width="10.71"/>
    <col collapsed="false" customWidth="true" hidden="false" outlineLevel="0" max="18" min="18" style="0" width="11.57"/>
    <col collapsed="false" customWidth="true" hidden="false" outlineLevel="0" max="19" min="19" style="0" width="1.57"/>
    <col collapsed="false" customWidth="true" hidden="false" outlineLevel="0" max="20" min="20" style="0" width="21.28"/>
    <col collapsed="false" customWidth="true" hidden="false" outlineLevel="0" max="21" min="21" style="0" width="22.43"/>
    <col collapsed="false" customWidth="true" hidden="false" outlineLevel="0" max="23" min="22" style="0" width="10.71"/>
    <col collapsed="false" customWidth="true" hidden="false" outlineLevel="0" max="24" min="24" style="0" width="11.57"/>
    <col collapsed="false" customWidth="true" hidden="false" outlineLevel="0" max="25" min="25" style="0" width="1.57"/>
    <col collapsed="false" customWidth="true" hidden="false" outlineLevel="0" max="26" min="26" style="0" width="18.71"/>
    <col collapsed="false" customWidth="true" hidden="false" outlineLevel="0" max="27" min="27" style="0" width="33.14"/>
    <col collapsed="false" customWidth="true" hidden="false" outlineLevel="0" max="29" min="28" style="0" width="10.71"/>
    <col collapsed="false" customWidth="true" hidden="false" outlineLevel="0" max="30" min="30" style="0" width="11.57"/>
    <col collapsed="false" customWidth="true" hidden="false" outlineLevel="0" max="31" min="31" style="0" width="1.57"/>
    <col collapsed="false" customWidth="true" hidden="false" outlineLevel="0" max="32" min="32" style="0" width="19.29"/>
    <col collapsed="false" customWidth="true" hidden="false" outlineLevel="0" max="33" min="33" style="0" width="21.71"/>
    <col collapsed="false" customWidth="true" hidden="false" outlineLevel="0" max="35" min="34" style="0" width="10.71"/>
    <col collapsed="false" customWidth="true" hidden="false" outlineLevel="0" max="36" min="36" style="0" width="12.86"/>
    <col collapsed="false" customWidth="true" hidden="false" outlineLevel="0" max="37" min="37" style="0" width="1.57"/>
    <col collapsed="false" customWidth="true" hidden="false" outlineLevel="0" max="38" min="38" style="0" width="18.29"/>
    <col collapsed="false" customWidth="true" hidden="false" outlineLevel="0" max="39" min="39" style="0" width="21.57"/>
    <col collapsed="false" customWidth="true" hidden="false" outlineLevel="0" max="40" min="40" style="0" width="9.43"/>
    <col collapsed="false" customWidth="true" hidden="false" outlineLevel="0" max="41" min="41" style="0" width="10.71"/>
    <col collapsed="false" customWidth="true" hidden="false" outlineLevel="0" max="42" min="42" style="0" width="12.86"/>
    <col collapsed="false" customWidth="true" hidden="false" outlineLevel="0" max="43" min="43" style="0" width="8"/>
    <col collapsed="false" customWidth="true" hidden="false" outlineLevel="0" max="44" min="44" style="0" width="19.71"/>
    <col collapsed="false" customWidth="true" hidden="false" outlineLevel="0" max="45" min="45" style="0" width="21.57"/>
    <col collapsed="false" customWidth="true" hidden="false" outlineLevel="0" max="47" min="46" style="0" width="10.71"/>
    <col collapsed="false" customWidth="true" hidden="false" outlineLevel="0" max="48" min="48" style="0" width="11.57"/>
    <col collapsed="false" customWidth="true" hidden="false" outlineLevel="0" max="49" min="49" style="0" width="1.57"/>
    <col collapsed="false" customWidth="true" hidden="false" outlineLevel="0" max="50" min="50" style="0" width="19.14"/>
    <col collapsed="false" customWidth="true" hidden="false" outlineLevel="0" max="51" min="51" style="0" width="19.86"/>
    <col collapsed="false" customWidth="true" hidden="false" outlineLevel="0" max="52" min="52" style="0" width="19.57"/>
    <col collapsed="false" customWidth="true" hidden="false" outlineLevel="0" max="53" min="53" style="0" width="10.71"/>
    <col collapsed="false" customWidth="true" hidden="false" outlineLevel="0" max="54" min="54" style="0" width="11.57"/>
    <col collapsed="false" customWidth="true" hidden="false" outlineLevel="0" max="55" min="55" style="0" width="1.57"/>
    <col collapsed="false" customWidth="true" hidden="false" outlineLevel="0" max="56" min="56" style="0" width="18.71"/>
    <col collapsed="false" customWidth="true" hidden="false" outlineLevel="0" max="57" min="57" style="0" width="20.57"/>
    <col collapsed="false" customWidth="true" hidden="false" outlineLevel="0" max="59" min="58" style="0" width="10.71"/>
    <col collapsed="false" customWidth="true" hidden="false" outlineLevel="0" max="60" min="60" style="0" width="11.57"/>
  </cols>
  <sheetData>
    <row r="1" customFormat="false" ht="15" hidden="false" customHeight="false" outlineLevel="0" collapsed="false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</row>
    <row r="2" customFormat="false" ht="26.25" hidden="false" customHeight="true" outlineLevel="0" collapsed="false">
      <c r="A2" s="18" t="s">
        <v>151</v>
      </c>
      <c r="B2" s="18" t="s">
        <v>151</v>
      </c>
      <c r="C2" s="19" t="s">
        <v>152</v>
      </c>
      <c r="D2" s="18" t="s">
        <v>151</v>
      </c>
      <c r="E2" s="18" t="s">
        <v>151</v>
      </c>
      <c r="F2" s="18" t="s">
        <v>151</v>
      </c>
      <c r="G2" s="18" t="s">
        <v>151</v>
      </c>
      <c r="H2" s="18" t="s">
        <v>151</v>
      </c>
      <c r="I2" s="19" t="s">
        <v>153</v>
      </c>
      <c r="J2" s="18" t="s">
        <v>151</v>
      </c>
      <c r="K2" s="18" t="s">
        <v>151</v>
      </c>
      <c r="L2" s="18" t="s">
        <v>151</v>
      </c>
      <c r="M2" s="18" t="s">
        <v>151</v>
      </c>
      <c r="N2" s="19" t="s">
        <v>154</v>
      </c>
      <c r="O2" s="19"/>
      <c r="P2" s="18" t="s">
        <v>151</v>
      </c>
      <c r="Q2" s="18" t="s">
        <v>151</v>
      </c>
      <c r="R2" s="18" t="s">
        <v>151</v>
      </c>
      <c r="S2" s="18" t="s">
        <v>151</v>
      </c>
      <c r="T2" s="19" t="s">
        <v>155</v>
      </c>
      <c r="U2" s="19"/>
      <c r="V2" s="18" t="s">
        <v>151</v>
      </c>
      <c r="W2" s="18" t="s">
        <v>151</v>
      </c>
      <c r="X2" s="18" t="s">
        <v>151</v>
      </c>
      <c r="Y2" s="18" t="s">
        <v>151</v>
      </c>
      <c r="Z2" s="19" t="s">
        <v>156</v>
      </c>
      <c r="AA2" s="19"/>
      <c r="AB2" s="18" t="s">
        <v>151</v>
      </c>
      <c r="AC2" s="18" t="s">
        <v>151</v>
      </c>
      <c r="AD2" s="18" t="s">
        <v>151</v>
      </c>
      <c r="AE2" s="18" t="s">
        <v>151</v>
      </c>
      <c r="AF2" s="19" t="s">
        <v>157</v>
      </c>
      <c r="AG2" s="19"/>
      <c r="AH2" s="18" t="s">
        <v>151</v>
      </c>
      <c r="AI2" s="18" t="s">
        <v>151</v>
      </c>
      <c r="AJ2" s="18" t="s">
        <v>151</v>
      </c>
      <c r="AK2" s="18" t="s">
        <v>151</v>
      </c>
      <c r="AL2" s="19" t="s">
        <v>152</v>
      </c>
      <c r="AM2" s="19"/>
      <c r="AN2" s="18" t="s">
        <v>151</v>
      </c>
      <c r="AO2" s="18" t="s">
        <v>151</v>
      </c>
      <c r="AP2" s="18" t="s">
        <v>151</v>
      </c>
      <c r="AQ2" s="18" t="s">
        <v>151</v>
      </c>
      <c r="AR2" s="19" t="s">
        <v>153</v>
      </c>
      <c r="AS2" s="19"/>
      <c r="AT2" s="18" t="s">
        <v>151</v>
      </c>
      <c r="AU2" s="18" t="s">
        <v>151</v>
      </c>
      <c r="AV2" s="18" t="s">
        <v>151</v>
      </c>
      <c r="AW2" s="18" t="s">
        <v>151</v>
      </c>
      <c r="AX2" s="19" t="s">
        <v>158</v>
      </c>
      <c r="AY2" s="19"/>
      <c r="AZ2" s="18" t="s">
        <v>151</v>
      </c>
      <c r="BA2" s="18" t="s">
        <v>151</v>
      </c>
      <c r="BB2" s="18" t="s">
        <v>151</v>
      </c>
      <c r="BC2" s="18" t="s">
        <v>151</v>
      </c>
      <c r="BD2" s="19" t="s">
        <v>159</v>
      </c>
      <c r="BE2" s="19"/>
      <c r="BF2" s="18" t="s">
        <v>151</v>
      </c>
      <c r="BG2" s="18" t="s">
        <v>151</v>
      </c>
      <c r="BH2" s="18" t="s">
        <v>151</v>
      </c>
    </row>
    <row r="3" customFormat="false" ht="15.75" hidden="false" customHeight="true" outlineLevel="0" collapsed="false">
      <c r="A3" s="17"/>
      <c r="B3" s="17"/>
      <c r="C3" s="20" t="s">
        <v>160</v>
      </c>
      <c r="D3" s="21" t="s">
        <v>161</v>
      </c>
      <c r="E3" s="21" t="s">
        <v>162</v>
      </c>
      <c r="F3" s="22" t="s">
        <v>163</v>
      </c>
      <c r="G3" s="17"/>
      <c r="H3" s="17"/>
      <c r="I3" s="20" t="s">
        <v>160</v>
      </c>
      <c r="J3" s="21" t="s">
        <v>161</v>
      </c>
      <c r="K3" s="21" t="s">
        <v>162</v>
      </c>
      <c r="L3" s="22" t="s">
        <v>163</v>
      </c>
      <c r="M3" s="23"/>
      <c r="N3" s="17"/>
      <c r="O3" s="20" t="s">
        <v>160</v>
      </c>
      <c r="P3" s="21" t="s">
        <v>161</v>
      </c>
      <c r="Q3" s="21" t="s">
        <v>162</v>
      </c>
      <c r="R3" s="22" t="s">
        <v>163</v>
      </c>
      <c r="S3" s="17"/>
      <c r="T3" s="17"/>
      <c r="U3" s="20" t="s">
        <v>160</v>
      </c>
      <c r="V3" s="21" t="s">
        <v>161</v>
      </c>
      <c r="W3" s="21" t="s">
        <v>162</v>
      </c>
      <c r="X3" s="22" t="s">
        <v>163</v>
      </c>
      <c r="Y3" s="17"/>
      <c r="Z3" s="17"/>
      <c r="AA3" s="20" t="s">
        <v>160</v>
      </c>
      <c r="AB3" s="21" t="s">
        <v>161</v>
      </c>
      <c r="AC3" s="21" t="s">
        <v>162</v>
      </c>
      <c r="AD3" s="22" t="s">
        <v>163</v>
      </c>
      <c r="AE3" s="17"/>
      <c r="AF3" s="17"/>
      <c r="AG3" s="20" t="s">
        <v>160</v>
      </c>
      <c r="AH3" s="21" t="s">
        <v>161</v>
      </c>
      <c r="AI3" s="21" t="s">
        <v>162</v>
      </c>
      <c r="AJ3" s="22" t="s">
        <v>163</v>
      </c>
      <c r="AK3" s="17"/>
      <c r="AL3" s="17"/>
      <c r="AM3" s="20" t="s">
        <v>160</v>
      </c>
      <c r="AN3" s="21" t="s">
        <v>161</v>
      </c>
      <c r="AO3" s="21" t="s">
        <v>162</v>
      </c>
      <c r="AP3" s="22" t="s">
        <v>163</v>
      </c>
      <c r="AQ3" s="17"/>
      <c r="AR3" s="17"/>
      <c r="AS3" s="20" t="s">
        <v>160</v>
      </c>
      <c r="AT3" s="21" t="s">
        <v>161</v>
      </c>
      <c r="AU3" s="21" t="s">
        <v>162</v>
      </c>
      <c r="AV3" s="22" t="s">
        <v>163</v>
      </c>
      <c r="AW3" s="17"/>
      <c r="AX3" s="17"/>
      <c r="AY3" s="20" t="s">
        <v>160</v>
      </c>
      <c r="AZ3" s="21" t="s">
        <v>161</v>
      </c>
      <c r="BA3" s="21" t="s">
        <v>162</v>
      </c>
      <c r="BB3" s="22" t="s">
        <v>163</v>
      </c>
      <c r="BC3" s="17"/>
      <c r="BD3" s="17"/>
      <c r="BE3" s="20" t="s">
        <v>160</v>
      </c>
      <c r="BF3" s="21" t="s">
        <v>161</v>
      </c>
      <c r="BG3" s="21" t="s">
        <v>162</v>
      </c>
      <c r="BH3" s="22" t="s">
        <v>163</v>
      </c>
    </row>
    <row r="4" customFormat="false" ht="30.75" hidden="false" customHeight="true" outlineLevel="0" collapsed="false">
      <c r="A4" s="17"/>
      <c r="B4" s="17"/>
      <c r="C4" s="24" t="s">
        <v>164</v>
      </c>
      <c r="D4" s="25" t="n">
        <v>10</v>
      </c>
      <c r="E4" s="25"/>
      <c r="F4" s="26" t="n">
        <v>10</v>
      </c>
      <c r="G4" s="17"/>
      <c r="H4" s="17"/>
      <c r="I4" s="24" t="s">
        <v>165</v>
      </c>
      <c r="J4" s="25"/>
      <c r="K4" s="25" t="n">
        <v>7.82</v>
      </c>
      <c r="L4" s="27" t="n">
        <v>15002.57</v>
      </c>
      <c r="M4" s="23"/>
      <c r="N4" s="23"/>
      <c r="O4" s="24" t="s">
        <v>166</v>
      </c>
      <c r="P4" s="25"/>
      <c r="Q4" s="25" t="n">
        <v>9.96</v>
      </c>
      <c r="R4" s="27" t="n">
        <v>21756.64</v>
      </c>
      <c r="S4" s="17"/>
      <c r="T4" s="23"/>
      <c r="U4" s="24" t="s">
        <v>106</v>
      </c>
      <c r="V4" s="25"/>
      <c r="W4" s="25" t="n">
        <v>3230</v>
      </c>
      <c r="X4" s="27" t="n">
        <v>49554.89</v>
      </c>
      <c r="Y4" s="17"/>
      <c r="Z4" s="23"/>
      <c r="AA4" s="24" t="s">
        <v>167</v>
      </c>
      <c r="AB4" s="25"/>
      <c r="AC4" s="25" t="n">
        <v>13.36</v>
      </c>
      <c r="AD4" s="27" t="n">
        <v>60631.22</v>
      </c>
      <c r="AE4" s="17"/>
      <c r="AF4" s="17"/>
      <c r="AG4" s="28" t="s">
        <v>36</v>
      </c>
      <c r="AH4" s="25"/>
      <c r="AI4" s="25" t="n">
        <v>9.96</v>
      </c>
      <c r="AJ4" s="27" t="n">
        <v>75327.63</v>
      </c>
      <c r="AK4" s="17"/>
      <c r="AL4" s="17"/>
      <c r="AM4" s="28" t="s">
        <v>36</v>
      </c>
      <c r="AN4" s="25"/>
      <c r="AO4" s="25" t="n">
        <v>9.96</v>
      </c>
      <c r="AP4" s="27" t="n">
        <v>104912.02</v>
      </c>
      <c r="AQ4" s="17"/>
      <c r="AR4" s="17"/>
      <c r="AS4" s="28" t="s">
        <v>70</v>
      </c>
      <c r="AT4" s="25" t="n">
        <v>1000</v>
      </c>
      <c r="AU4" s="25"/>
      <c r="AV4" s="27" t="n">
        <v>60425.81</v>
      </c>
      <c r="AW4" s="17"/>
      <c r="AX4" s="17"/>
      <c r="AY4" s="28" t="s">
        <v>94</v>
      </c>
      <c r="AZ4" s="25"/>
      <c r="BA4" s="25" t="n">
        <v>200</v>
      </c>
      <c r="BB4" s="27" t="n">
        <v>15228.81</v>
      </c>
      <c r="BC4" s="17"/>
      <c r="BD4" s="17"/>
      <c r="BE4" s="29" t="s">
        <v>122</v>
      </c>
      <c r="BF4" s="30" t="s">
        <v>151</v>
      </c>
      <c r="BG4" s="30" t="n">
        <v>1250</v>
      </c>
      <c r="BH4" s="31" t="n">
        <v>16562.44</v>
      </c>
    </row>
    <row r="5" customFormat="false" ht="20.25" hidden="false" customHeight="true" outlineLevel="0" collapsed="false">
      <c r="A5" s="17"/>
      <c r="B5" s="17"/>
      <c r="C5" s="32" t="s">
        <v>164</v>
      </c>
      <c r="D5" s="33" t="n">
        <v>14760</v>
      </c>
      <c r="E5" s="34"/>
      <c r="F5" s="27" t="n">
        <v>14770</v>
      </c>
      <c r="G5" s="17"/>
      <c r="H5" s="17"/>
      <c r="I5" s="32" t="s">
        <v>145</v>
      </c>
      <c r="J5" s="34"/>
      <c r="K5" s="34" t="n">
        <v>150.35</v>
      </c>
      <c r="L5" s="27" t="n">
        <v>14852.22</v>
      </c>
      <c r="M5" s="23"/>
      <c r="N5" s="23"/>
      <c r="O5" s="32" t="s">
        <v>168</v>
      </c>
      <c r="P5" s="34"/>
      <c r="Q5" s="34" t="n">
        <v>12.1</v>
      </c>
      <c r="R5" s="27" t="n">
        <v>21744.54</v>
      </c>
      <c r="S5" s="17"/>
      <c r="T5" s="23"/>
      <c r="U5" s="32" t="s">
        <v>169</v>
      </c>
      <c r="V5" s="34"/>
      <c r="W5" s="34" t="n">
        <v>9.96</v>
      </c>
      <c r="X5" s="27" t="n">
        <v>49544.93</v>
      </c>
      <c r="Y5" s="17"/>
      <c r="Z5" s="23"/>
      <c r="AA5" s="32" t="s">
        <v>170</v>
      </c>
      <c r="AB5" s="34"/>
      <c r="AC5" s="34" t="n">
        <v>233.36</v>
      </c>
      <c r="AD5" s="27" t="n">
        <v>60397.86</v>
      </c>
      <c r="AE5" s="17"/>
      <c r="AF5" s="17"/>
      <c r="AG5" s="32" t="s">
        <v>171</v>
      </c>
      <c r="AH5" s="34"/>
      <c r="AI5" s="34" t="n">
        <v>246</v>
      </c>
      <c r="AJ5" s="27" t="n">
        <v>75081.63</v>
      </c>
      <c r="AK5" s="17"/>
      <c r="AL5" s="17"/>
      <c r="AM5" s="32" t="s">
        <v>37</v>
      </c>
      <c r="AN5" s="34"/>
      <c r="AO5" s="34" t="n">
        <v>3133.8</v>
      </c>
      <c r="AP5" s="27" t="n">
        <v>101778.22</v>
      </c>
      <c r="AQ5" s="17"/>
      <c r="AR5" s="17"/>
      <c r="AS5" s="32" t="s">
        <v>68</v>
      </c>
      <c r="AT5" s="34"/>
      <c r="AU5" s="34" t="n">
        <v>137</v>
      </c>
      <c r="AV5" s="27" t="n">
        <v>60288.81</v>
      </c>
      <c r="AW5" s="17"/>
      <c r="AX5" s="17"/>
      <c r="AY5" s="35" t="s">
        <v>94</v>
      </c>
      <c r="AZ5" s="34"/>
      <c r="BA5" s="34" t="n">
        <v>200</v>
      </c>
      <c r="BB5" s="27" t="n">
        <v>15028.81</v>
      </c>
      <c r="BC5" s="17"/>
      <c r="BD5" s="17"/>
      <c r="BE5" s="36" t="s">
        <v>123</v>
      </c>
      <c r="BF5" s="37" t="s">
        <v>151</v>
      </c>
      <c r="BG5" s="37" t="n">
        <v>1250</v>
      </c>
      <c r="BH5" s="31" t="n">
        <v>15312.44</v>
      </c>
    </row>
    <row r="6" customFormat="false" ht="30.75" hidden="false" customHeight="true" outlineLevel="0" collapsed="false">
      <c r="A6" s="17"/>
      <c r="B6" s="17"/>
      <c r="C6" s="24" t="s">
        <v>172</v>
      </c>
      <c r="D6" s="25"/>
      <c r="E6" s="38" t="n">
        <v>1476</v>
      </c>
      <c r="F6" s="27" t="n">
        <v>13294</v>
      </c>
      <c r="G6" s="17"/>
      <c r="H6" s="17"/>
      <c r="I6" s="24" t="s">
        <v>173</v>
      </c>
      <c r="J6" s="25"/>
      <c r="K6" s="25" t="n">
        <v>52.63</v>
      </c>
      <c r="L6" s="27" t="n">
        <v>14799.59</v>
      </c>
      <c r="M6" s="23"/>
      <c r="N6" s="23"/>
      <c r="O6" s="24" t="s">
        <v>174</v>
      </c>
      <c r="P6" s="25"/>
      <c r="Q6" s="25" t="n">
        <v>20.25</v>
      </c>
      <c r="R6" s="27" t="n">
        <v>21724.29</v>
      </c>
      <c r="S6" s="17"/>
      <c r="T6" s="23"/>
      <c r="U6" s="24" t="s">
        <v>175</v>
      </c>
      <c r="V6" s="25" t="n">
        <v>21771.55</v>
      </c>
      <c r="W6" s="25"/>
      <c r="X6" s="27" t="n">
        <v>71316.48</v>
      </c>
      <c r="Y6" s="17"/>
      <c r="Z6" s="23"/>
      <c r="AA6" s="24" t="s">
        <v>169</v>
      </c>
      <c r="AB6" s="25"/>
      <c r="AC6" s="25" t="n">
        <v>9.96</v>
      </c>
      <c r="AD6" s="27" t="n">
        <v>60387.9</v>
      </c>
      <c r="AE6" s="17"/>
      <c r="AF6" s="17"/>
      <c r="AG6" s="24" t="s">
        <v>54</v>
      </c>
      <c r="AH6" s="25"/>
      <c r="AI6" s="25" t="n">
        <v>590.49</v>
      </c>
      <c r="AJ6" s="39" t="n">
        <v>74491.14</v>
      </c>
      <c r="AK6" s="17"/>
      <c r="AL6" s="17"/>
      <c r="AM6" s="24" t="s">
        <v>38</v>
      </c>
      <c r="AN6" s="25" t="n">
        <v>3678.93</v>
      </c>
      <c r="AO6" s="25"/>
      <c r="AP6" s="27" t="n">
        <v>105457.15</v>
      </c>
      <c r="AQ6" s="17"/>
      <c r="AR6" s="17"/>
      <c r="AS6" s="24" t="s">
        <v>36</v>
      </c>
      <c r="AT6" s="25"/>
      <c r="AU6" s="25" t="n">
        <v>9.96</v>
      </c>
      <c r="AV6" s="27" t="n">
        <v>60278.85</v>
      </c>
      <c r="AW6" s="17"/>
      <c r="AX6" s="17"/>
      <c r="AY6" s="28" t="s">
        <v>94</v>
      </c>
      <c r="AZ6" s="25"/>
      <c r="BA6" s="25" t="n">
        <v>200</v>
      </c>
      <c r="BB6" s="27" t="n">
        <v>14828.81</v>
      </c>
      <c r="BC6" s="17"/>
      <c r="BD6" s="17"/>
      <c r="BE6" s="29" t="s">
        <v>176</v>
      </c>
      <c r="BF6" s="30" t="s">
        <v>151</v>
      </c>
      <c r="BG6" s="30" t="n">
        <v>48</v>
      </c>
      <c r="BH6" s="31" t="n">
        <v>15264.44</v>
      </c>
    </row>
    <row r="7" customFormat="false" ht="20.25" hidden="false" customHeight="true" outlineLevel="0" collapsed="false">
      <c r="A7" s="17"/>
      <c r="B7" s="17"/>
      <c r="C7" s="32" t="s">
        <v>177</v>
      </c>
      <c r="D7" s="34"/>
      <c r="E7" s="33" t="n">
        <v>1000</v>
      </c>
      <c r="F7" s="27" t="n">
        <v>12294</v>
      </c>
      <c r="G7" s="17"/>
      <c r="H7" s="17"/>
      <c r="I7" s="32" t="s">
        <v>173</v>
      </c>
      <c r="J7" s="34"/>
      <c r="K7" s="34" t="n">
        <v>4.63</v>
      </c>
      <c r="L7" s="27" t="n">
        <v>14794.96</v>
      </c>
      <c r="M7" s="23"/>
      <c r="N7" s="23"/>
      <c r="O7" s="32" t="s">
        <v>178</v>
      </c>
      <c r="P7" s="34"/>
      <c r="Q7" s="34" t="n">
        <v>1077.97</v>
      </c>
      <c r="R7" s="27" t="n">
        <v>20646.32</v>
      </c>
      <c r="S7" s="17"/>
      <c r="T7" s="23"/>
      <c r="U7" s="32" t="s">
        <v>179</v>
      </c>
      <c r="V7" s="34"/>
      <c r="W7" s="34" t="n">
        <v>5537.15</v>
      </c>
      <c r="X7" s="27" t="n">
        <v>65779.33</v>
      </c>
      <c r="Y7" s="17"/>
      <c r="Z7" s="23"/>
      <c r="AA7" s="32" t="s">
        <v>180</v>
      </c>
      <c r="AB7" s="34"/>
      <c r="AC7" s="34" t="n">
        <v>248.28</v>
      </c>
      <c r="AD7" s="27" t="n">
        <v>60139.62</v>
      </c>
      <c r="AE7" s="17"/>
      <c r="AF7" s="17"/>
      <c r="AG7" s="32" t="n">
        <v>515151</v>
      </c>
      <c r="AH7" s="34" t="n">
        <v>49999.87</v>
      </c>
      <c r="AI7" s="34"/>
      <c r="AJ7" s="39" t="n">
        <v>124491.01</v>
      </c>
      <c r="AK7" s="17"/>
      <c r="AL7" s="17"/>
      <c r="AM7" s="32" t="s">
        <v>39</v>
      </c>
      <c r="AN7" s="34"/>
      <c r="AO7" s="34" t="n">
        <v>246</v>
      </c>
      <c r="AP7" s="27" t="n">
        <v>105211.15</v>
      </c>
      <c r="AQ7" s="17"/>
      <c r="AR7" s="17"/>
      <c r="AS7" s="32" t="s">
        <v>70</v>
      </c>
      <c r="AT7" s="34" t="n">
        <v>845</v>
      </c>
      <c r="AU7" s="34"/>
      <c r="AV7" s="27" t="n">
        <v>61123.85</v>
      </c>
      <c r="AW7" s="17"/>
      <c r="AX7" s="17"/>
      <c r="AY7" s="35" t="s">
        <v>94</v>
      </c>
      <c r="AZ7" s="34"/>
      <c r="BA7" s="34" t="n">
        <v>200</v>
      </c>
      <c r="BB7" s="27" t="n">
        <v>14628.81</v>
      </c>
      <c r="BC7" s="17"/>
      <c r="BD7" s="17"/>
      <c r="BE7" s="36" t="s">
        <v>125</v>
      </c>
      <c r="BF7" s="37" t="s">
        <v>151</v>
      </c>
      <c r="BG7" s="37" t="n">
        <v>9.96</v>
      </c>
      <c r="BH7" s="31" t="n">
        <v>15254.48</v>
      </c>
    </row>
    <row r="8" customFormat="false" ht="20.25" hidden="false" customHeight="true" outlineLevel="0" collapsed="false">
      <c r="A8" s="17"/>
      <c r="B8" s="17"/>
      <c r="C8" s="24" t="s">
        <v>177</v>
      </c>
      <c r="D8" s="25"/>
      <c r="E8" s="25" t="n">
        <v>350</v>
      </c>
      <c r="F8" s="27" t="n">
        <v>11944</v>
      </c>
      <c r="G8" s="17"/>
      <c r="H8" s="17"/>
      <c r="I8" s="24" t="s">
        <v>181</v>
      </c>
      <c r="J8" s="25"/>
      <c r="K8" s="25" t="n">
        <v>227.85</v>
      </c>
      <c r="L8" s="27" t="n">
        <v>14567.11</v>
      </c>
      <c r="M8" s="23"/>
      <c r="N8" s="23"/>
      <c r="O8" s="24" t="s">
        <v>178</v>
      </c>
      <c r="P8" s="25"/>
      <c r="Q8" s="25" t="n">
        <v>651.9</v>
      </c>
      <c r="R8" s="27" t="n">
        <v>19994.42</v>
      </c>
      <c r="S8" s="17"/>
      <c r="T8" s="23"/>
      <c r="U8" s="24" t="s">
        <v>182</v>
      </c>
      <c r="V8" s="25"/>
      <c r="W8" s="25" t="n">
        <v>325.79</v>
      </c>
      <c r="X8" s="27" t="n">
        <v>65453.54</v>
      </c>
      <c r="Y8" s="17"/>
      <c r="Z8" s="23"/>
      <c r="AA8" s="24" t="s">
        <v>183</v>
      </c>
      <c r="AB8" s="25"/>
      <c r="AC8" s="25" t="n">
        <v>114.65</v>
      </c>
      <c r="AD8" s="27" t="n">
        <v>60024.97</v>
      </c>
      <c r="AE8" s="17"/>
      <c r="AF8" s="17"/>
      <c r="AG8" s="24" t="s">
        <v>184</v>
      </c>
      <c r="AH8" s="25"/>
      <c r="AI8" s="25" t="n">
        <v>1826.29</v>
      </c>
      <c r="AJ8" s="27" t="n">
        <v>122664.72</v>
      </c>
      <c r="AK8" s="17"/>
      <c r="AL8" s="17"/>
      <c r="AM8" s="24" t="s">
        <v>40</v>
      </c>
      <c r="AN8" s="25"/>
      <c r="AO8" s="25" t="n">
        <v>50</v>
      </c>
      <c r="AP8" s="27" t="n">
        <v>105161.15</v>
      </c>
      <c r="AQ8" s="17"/>
      <c r="AR8" s="17"/>
      <c r="AS8" s="24" t="s">
        <v>71</v>
      </c>
      <c r="AT8" s="25"/>
      <c r="AU8" s="25" t="n">
        <v>51</v>
      </c>
      <c r="AV8" s="27" t="n">
        <v>61072.85</v>
      </c>
      <c r="AW8" s="17"/>
      <c r="AX8" s="17"/>
      <c r="AY8" s="28" t="s">
        <v>94</v>
      </c>
      <c r="AZ8" s="25"/>
      <c r="BA8" s="25" t="n">
        <v>200</v>
      </c>
      <c r="BB8" s="27" t="n">
        <v>14428.81</v>
      </c>
      <c r="BC8" s="17"/>
      <c r="BD8" s="17"/>
      <c r="BE8" s="29" t="s">
        <v>126</v>
      </c>
      <c r="BF8" s="30" t="s">
        <v>151</v>
      </c>
      <c r="BG8" s="30" t="n">
        <v>134.39</v>
      </c>
      <c r="BH8" s="31" t="n">
        <v>15120.09</v>
      </c>
    </row>
    <row r="9" customFormat="false" ht="15.75" hidden="false" customHeight="true" outlineLevel="0" collapsed="false">
      <c r="A9" s="17"/>
      <c r="B9" s="17"/>
      <c r="C9" s="32" t="s">
        <v>185</v>
      </c>
      <c r="D9" s="33" t="n">
        <v>25092</v>
      </c>
      <c r="E9" s="34"/>
      <c r="F9" s="27" t="n">
        <v>37036</v>
      </c>
      <c r="G9" s="17"/>
      <c r="H9" s="17"/>
      <c r="I9" s="32" t="s">
        <v>186</v>
      </c>
      <c r="J9" s="34"/>
      <c r="K9" s="34" t="n">
        <v>201.63</v>
      </c>
      <c r="L9" s="27" t="n">
        <v>14365.48</v>
      </c>
      <c r="M9" s="23"/>
      <c r="N9" s="23"/>
      <c r="O9" s="32" t="s">
        <v>187</v>
      </c>
      <c r="P9" s="34"/>
      <c r="Q9" s="34" t="n">
        <v>27.07</v>
      </c>
      <c r="R9" s="27" t="n">
        <v>19967.35</v>
      </c>
      <c r="S9" s="17"/>
      <c r="T9" s="23"/>
      <c r="U9" s="32" t="s">
        <v>188</v>
      </c>
      <c r="V9" s="34"/>
      <c r="W9" s="34" t="n">
        <v>31.46</v>
      </c>
      <c r="X9" s="27" t="n">
        <v>65422.08</v>
      </c>
      <c r="Y9" s="17"/>
      <c r="Z9" s="23"/>
      <c r="AA9" s="32" t="s">
        <v>167</v>
      </c>
      <c r="AB9" s="34"/>
      <c r="AC9" s="34" t="n">
        <v>416.29</v>
      </c>
      <c r="AD9" s="27" t="n">
        <v>59608.68</v>
      </c>
      <c r="AE9" s="17"/>
      <c r="AF9" s="17"/>
      <c r="AG9" s="32" t="s">
        <v>189</v>
      </c>
      <c r="AH9" s="34"/>
      <c r="AI9" s="40" t="n">
        <v>379.99</v>
      </c>
      <c r="AJ9" s="27" t="n">
        <v>122284.73</v>
      </c>
      <c r="AK9" s="17"/>
      <c r="AL9" s="17"/>
      <c r="AM9" s="32" t="s">
        <v>40</v>
      </c>
      <c r="AN9" s="34"/>
      <c r="AO9" s="34" t="n">
        <v>529.56</v>
      </c>
      <c r="AP9" s="27" t="n">
        <v>104631.59</v>
      </c>
      <c r="AQ9" s="17"/>
      <c r="AR9" s="17"/>
      <c r="AS9" s="32" t="s">
        <v>72</v>
      </c>
      <c r="AT9" s="34"/>
      <c r="AU9" s="34" t="n">
        <v>3690</v>
      </c>
      <c r="AV9" s="27" t="n">
        <v>57382.85</v>
      </c>
      <c r="AW9" s="17"/>
      <c r="AX9" s="17"/>
      <c r="AY9" s="35" t="s">
        <v>94</v>
      </c>
      <c r="AZ9" s="34"/>
      <c r="BA9" s="34" t="n">
        <v>200</v>
      </c>
      <c r="BB9" s="27" t="n">
        <v>14228.81</v>
      </c>
      <c r="BC9" s="17"/>
      <c r="BD9" s="17"/>
      <c r="BE9" s="36" t="s">
        <v>127</v>
      </c>
      <c r="BF9" s="37" t="s">
        <v>151</v>
      </c>
      <c r="BG9" s="37" t="n">
        <v>526.54</v>
      </c>
      <c r="BH9" s="31" t="n">
        <v>14593.55</v>
      </c>
    </row>
    <row r="10" customFormat="false" ht="15.75" hidden="false" customHeight="true" outlineLevel="0" collapsed="false">
      <c r="A10" s="17"/>
      <c r="B10" s="17"/>
      <c r="C10" s="24" t="s">
        <v>190</v>
      </c>
      <c r="D10" s="25"/>
      <c r="E10" s="38" t="n">
        <v>2040</v>
      </c>
      <c r="F10" s="27" t="n">
        <v>34996</v>
      </c>
      <c r="G10" s="17"/>
      <c r="H10" s="17"/>
      <c r="I10" s="24" t="s">
        <v>191</v>
      </c>
      <c r="J10" s="25"/>
      <c r="K10" s="25" t="n">
        <v>3444</v>
      </c>
      <c r="L10" s="27" t="n">
        <v>10921.48</v>
      </c>
      <c r="M10" s="23"/>
      <c r="N10" s="23"/>
      <c r="O10" s="24" t="s">
        <v>187</v>
      </c>
      <c r="P10" s="25"/>
      <c r="Q10" s="25" t="n">
        <v>3.72</v>
      </c>
      <c r="R10" s="27" t="n">
        <v>19963.63</v>
      </c>
      <c r="S10" s="17"/>
      <c r="T10" s="23"/>
      <c r="U10" s="24" t="s">
        <v>192</v>
      </c>
      <c r="V10" s="25"/>
      <c r="W10" s="25" t="n">
        <v>56.89</v>
      </c>
      <c r="X10" s="27" t="n">
        <v>65365.19</v>
      </c>
      <c r="Y10" s="17"/>
      <c r="Z10" s="23"/>
      <c r="AA10" s="24" t="s">
        <v>193</v>
      </c>
      <c r="AB10" s="25"/>
      <c r="AC10" s="25" t="n">
        <v>10</v>
      </c>
      <c r="AD10" s="27" t="n">
        <v>59598.68</v>
      </c>
      <c r="AE10" s="17"/>
      <c r="AF10" s="17"/>
      <c r="AG10" s="24" t="s">
        <v>194</v>
      </c>
      <c r="AH10" s="25"/>
      <c r="AI10" s="25" t="n">
        <v>24.5</v>
      </c>
      <c r="AJ10" s="27" t="n">
        <v>122260.23</v>
      </c>
      <c r="AK10" s="17"/>
      <c r="AL10" s="17"/>
      <c r="AM10" s="24" t="s">
        <v>40</v>
      </c>
      <c r="AN10" s="25"/>
      <c r="AO10" s="25" t="n">
        <v>529.56</v>
      </c>
      <c r="AP10" s="27" t="n">
        <v>104102.03</v>
      </c>
      <c r="AQ10" s="17"/>
      <c r="AR10" s="17"/>
      <c r="AS10" s="24" t="s">
        <v>73</v>
      </c>
      <c r="AT10" s="25"/>
      <c r="AU10" s="25" t="n">
        <v>724.97</v>
      </c>
      <c r="AV10" s="27" t="n">
        <v>56657.88</v>
      </c>
      <c r="AW10" s="17"/>
      <c r="AX10" s="17"/>
      <c r="AY10" s="28" t="s">
        <v>94</v>
      </c>
      <c r="AZ10" s="25"/>
      <c r="BA10" s="25" t="n">
        <v>200</v>
      </c>
      <c r="BB10" s="27" t="n">
        <v>14028.81</v>
      </c>
      <c r="BC10" s="17"/>
      <c r="BD10" s="17"/>
      <c r="BE10" s="29" t="s">
        <v>128</v>
      </c>
      <c r="BF10" s="30" t="s">
        <v>151</v>
      </c>
      <c r="BG10" s="30" t="n">
        <v>360</v>
      </c>
      <c r="BH10" s="31" t="n">
        <v>14233.55</v>
      </c>
    </row>
    <row r="11" customFormat="false" ht="15.75" hidden="false" customHeight="true" outlineLevel="0" collapsed="false">
      <c r="A11" s="17"/>
      <c r="B11" s="17"/>
      <c r="C11" s="41" t="s">
        <v>195</v>
      </c>
      <c r="D11" s="42" t="s">
        <v>151</v>
      </c>
      <c r="E11" s="43" t="n">
        <v>2760</v>
      </c>
      <c r="F11" s="44" t="n">
        <v>32236</v>
      </c>
      <c r="G11" s="17"/>
      <c r="H11" s="17"/>
      <c r="I11" s="32" t="s">
        <v>196</v>
      </c>
      <c r="J11" s="34" t="n">
        <v>16819.92</v>
      </c>
      <c r="K11" s="34"/>
      <c r="L11" s="27" t="n">
        <v>27741.4</v>
      </c>
      <c r="M11" s="23"/>
      <c r="N11" s="23"/>
      <c r="O11" s="32" t="s">
        <v>187</v>
      </c>
      <c r="P11" s="34"/>
      <c r="Q11" s="34" t="n">
        <v>7.96</v>
      </c>
      <c r="R11" s="27" t="n">
        <v>19955.67</v>
      </c>
      <c r="S11" s="17"/>
      <c r="T11" s="23"/>
      <c r="U11" s="32" t="s">
        <v>197</v>
      </c>
      <c r="V11" s="34"/>
      <c r="W11" s="34" t="n">
        <v>279.71</v>
      </c>
      <c r="X11" s="27" t="n">
        <v>65085.48</v>
      </c>
      <c r="Y11" s="17"/>
      <c r="Z11" s="23"/>
      <c r="AA11" s="32" t="s">
        <v>198</v>
      </c>
      <c r="AB11" s="34"/>
      <c r="AC11" s="34" t="n">
        <v>10</v>
      </c>
      <c r="AD11" s="27" t="n">
        <v>59588.68</v>
      </c>
      <c r="AE11" s="17"/>
      <c r="AF11" s="17"/>
      <c r="AG11" s="32" t="s">
        <v>192</v>
      </c>
      <c r="AH11" s="34"/>
      <c r="AI11" s="34" t="n">
        <v>111.78</v>
      </c>
      <c r="AJ11" s="39" t="n">
        <v>122148.45</v>
      </c>
      <c r="AK11" s="17"/>
      <c r="AL11" s="17"/>
      <c r="AM11" s="32" t="s">
        <v>40</v>
      </c>
      <c r="AN11" s="34"/>
      <c r="AO11" s="34" t="n">
        <v>529.56</v>
      </c>
      <c r="AP11" s="27" t="n">
        <v>103572.47</v>
      </c>
      <c r="AQ11" s="17"/>
      <c r="AR11" s="17"/>
      <c r="AS11" s="32" t="s">
        <v>74</v>
      </c>
      <c r="AT11" s="34"/>
      <c r="AU11" s="34" t="n">
        <v>241.09</v>
      </c>
      <c r="AV11" s="27" t="n">
        <v>56416.79</v>
      </c>
      <c r="AW11" s="17"/>
      <c r="AX11" s="17"/>
      <c r="AY11" s="35" t="s">
        <v>94</v>
      </c>
      <c r="AZ11" s="34"/>
      <c r="BA11" s="34" t="n">
        <v>200</v>
      </c>
      <c r="BB11" s="27" t="n">
        <v>13828.81</v>
      </c>
      <c r="BC11" s="17"/>
      <c r="BD11" s="17"/>
      <c r="BE11" s="36" t="s">
        <v>129</v>
      </c>
      <c r="BF11" s="37" t="s">
        <v>151</v>
      </c>
      <c r="BG11" s="37" t="n">
        <v>38.95</v>
      </c>
      <c r="BH11" s="31" t="n">
        <v>14194.6</v>
      </c>
    </row>
    <row r="12" customFormat="false" ht="20.25" hidden="false" customHeight="true" outlineLevel="0" collapsed="false">
      <c r="A12" s="17"/>
      <c r="B12" s="45" t="s">
        <v>199</v>
      </c>
      <c r="C12" s="24" t="s">
        <v>200</v>
      </c>
      <c r="D12" s="25" t="n">
        <v>40.59</v>
      </c>
      <c r="E12" s="25"/>
      <c r="F12" s="27" t="n">
        <v>32276.59</v>
      </c>
      <c r="G12" s="17"/>
      <c r="H12" s="17"/>
      <c r="I12" s="24" t="s">
        <v>201</v>
      </c>
      <c r="J12" s="25"/>
      <c r="K12" s="25" t="n">
        <v>12.5</v>
      </c>
      <c r="L12" s="27" t="n">
        <v>27728.9</v>
      </c>
      <c r="M12" s="23"/>
      <c r="N12" s="23"/>
      <c r="O12" s="24" t="s">
        <v>187</v>
      </c>
      <c r="P12" s="25"/>
      <c r="Q12" s="25" t="n">
        <v>8.06</v>
      </c>
      <c r="R12" s="27" t="n">
        <v>19947.61</v>
      </c>
      <c r="S12" s="17"/>
      <c r="T12" s="23"/>
      <c r="U12" s="24" t="s">
        <v>197</v>
      </c>
      <c r="V12" s="25"/>
      <c r="W12" s="25" t="n">
        <v>116.85</v>
      </c>
      <c r="X12" s="27" t="n">
        <v>64968.63</v>
      </c>
      <c r="Y12" s="17"/>
      <c r="Z12" s="23"/>
      <c r="AA12" s="24" t="s">
        <v>188</v>
      </c>
      <c r="AB12" s="25"/>
      <c r="AC12" s="25" t="n">
        <v>22.28</v>
      </c>
      <c r="AD12" s="27" t="n">
        <v>59566.4</v>
      </c>
      <c r="AE12" s="17"/>
      <c r="AF12" s="17"/>
      <c r="AG12" s="24" t="s">
        <v>202</v>
      </c>
      <c r="AH12" s="25"/>
      <c r="AI12" s="25" t="n">
        <v>20.89</v>
      </c>
      <c r="AJ12" s="39" t="n">
        <v>122127.56</v>
      </c>
      <c r="AK12" s="17"/>
      <c r="AL12" s="17"/>
      <c r="AM12" s="24" t="s">
        <v>41</v>
      </c>
      <c r="AN12" s="25"/>
      <c r="AO12" s="25" t="n">
        <v>1</v>
      </c>
      <c r="AP12" s="27" t="n">
        <v>103571.47</v>
      </c>
      <c r="AQ12" s="17"/>
      <c r="AR12" s="17"/>
      <c r="AS12" s="24" t="s">
        <v>75</v>
      </c>
      <c r="AT12" s="25"/>
      <c r="AU12" s="25" t="n">
        <v>0.65</v>
      </c>
      <c r="AV12" s="27" t="n">
        <v>56416.14</v>
      </c>
      <c r="AW12" s="17"/>
      <c r="AX12" s="17"/>
      <c r="AY12" s="28" t="s">
        <v>94</v>
      </c>
      <c r="AZ12" s="25"/>
      <c r="BA12" s="25" t="n">
        <v>200</v>
      </c>
      <c r="BB12" s="27" t="n">
        <v>13628.81</v>
      </c>
      <c r="BC12" s="17"/>
      <c r="BD12" s="17"/>
      <c r="BE12" s="29" t="s">
        <v>203</v>
      </c>
      <c r="BF12" s="30" t="s">
        <v>151</v>
      </c>
      <c r="BG12" s="30" t="n">
        <v>154</v>
      </c>
      <c r="BH12" s="31" t="n">
        <v>14040.6</v>
      </c>
    </row>
    <row r="13" customFormat="false" ht="20.25" hidden="false" customHeight="true" outlineLevel="0" collapsed="false">
      <c r="A13" s="17"/>
      <c r="B13" s="17"/>
      <c r="C13" s="32" t="s">
        <v>200</v>
      </c>
      <c r="D13" s="34"/>
      <c r="E13" s="34" t="n">
        <v>332.08</v>
      </c>
      <c r="F13" s="27" t="n">
        <v>31944.51</v>
      </c>
      <c r="G13" s="17"/>
      <c r="H13" s="17"/>
      <c r="I13" s="32" t="s">
        <v>204</v>
      </c>
      <c r="J13" s="34"/>
      <c r="K13" s="34" t="n">
        <v>105.03</v>
      </c>
      <c r="L13" s="27" t="n">
        <v>27623.87</v>
      </c>
      <c r="M13" s="23"/>
      <c r="N13" s="23"/>
      <c r="O13" s="32" t="s">
        <v>187</v>
      </c>
      <c r="P13" s="34"/>
      <c r="Q13" s="34" t="n">
        <v>36.6</v>
      </c>
      <c r="R13" s="27" t="n">
        <v>19911.01</v>
      </c>
      <c r="S13" s="17"/>
      <c r="T13" s="23"/>
      <c r="U13" s="32" t="s">
        <v>178</v>
      </c>
      <c r="V13" s="34"/>
      <c r="W13" s="34" t="n">
        <v>2472.3</v>
      </c>
      <c r="X13" s="27" t="n">
        <v>62496.33</v>
      </c>
      <c r="Y13" s="17"/>
      <c r="Z13" s="23"/>
      <c r="AA13" s="32" t="s">
        <v>205</v>
      </c>
      <c r="AB13" s="34"/>
      <c r="AC13" s="34" t="n">
        <v>320.96</v>
      </c>
      <c r="AD13" s="27" t="n">
        <v>59245.44</v>
      </c>
      <c r="AE13" s="17"/>
      <c r="AF13" s="17"/>
      <c r="AG13" s="32" t="s">
        <v>202</v>
      </c>
      <c r="AH13" s="34"/>
      <c r="AI13" s="34" t="n">
        <v>9.82</v>
      </c>
      <c r="AJ13" s="39" t="n">
        <v>122117.74</v>
      </c>
      <c r="AK13" s="17"/>
      <c r="AL13" s="17"/>
      <c r="AM13" s="32" t="s">
        <v>42</v>
      </c>
      <c r="AN13" s="34"/>
      <c r="AO13" s="34" t="n">
        <v>83.04</v>
      </c>
      <c r="AP13" s="27" t="n">
        <v>103488.43</v>
      </c>
      <c r="AQ13" s="17"/>
      <c r="AR13" s="17"/>
      <c r="AS13" s="32" t="s">
        <v>76</v>
      </c>
      <c r="AT13" s="34"/>
      <c r="AU13" s="34" t="n">
        <v>1599.28</v>
      </c>
      <c r="AV13" s="27" t="n">
        <v>54816.86</v>
      </c>
      <c r="AW13" s="17"/>
      <c r="AX13" s="17"/>
      <c r="AY13" s="35" t="s">
        <v>94</v>
      </c>
      <c r="AZ13" s="34"/>
      <c r="BA13" s="34" t="n">
        <v>200</v>
      </c>
      <c r="BB13" s="27" t="n">
        <v>13428.81</v>
      </c>
      <c r="BC13" s="17"/>
      <c r="BD13" s="17"/>
      <c r="BE13" s="36" t="s">
        <v>206</v>
      </c>
      <c r="BF13" s="37" t="s">
        <v>151</v>
      </c>
      <c r="BG13" s="37" t="n">
        <v>20</v>
      </c>
      <c r="BH13" s="31" t="n">
        <v>14020.6</v>
      </c>
    </row>
    <row r="14" customFormat="false" ht="15.75" hidden="false" customHeight="true" outlineLevel="0" collapsed="false">
      <c r="A14" s="17"/>
      <c r="B14" s="17"/>
      <c r="C14" s="24" t="s">
        <v>207</v>
      </c>
      <c r="D14" s="25"/>
      <c r="E14" s="25" t="n">
        <v>359.13</v>
      </c>
      <c r="F14" s="27" t="n">
        <v>31585.38</v>
      </c>
      <c r="G14" s="17"/>
      <c r="H14" s="17"/>
      <c r="I14" s="24" t="s">
        <v>208</v>
      </c>
      <c r="J14" s="25"/>
      <c r="K14" s="25" t="n">
        <v>1110</v>
      </c>
      <c r="L14" s="27" t="n">
        <v>26513.87</v>
      </c>
      <c r="M14" s="23"/>
      <c r="N14" s="23"/>
      <c r="O14" s="24" t="s">
        <v>187</v>
      </c>
      <c r="P14" s="25"/>
      <c r="Q14" s="25" t="n">
        <v>5.74</v>
      </c>
      <c r="R14" s="27" t="n">
        <v>19905.27</v>
      </c>
      <c r="S14" s="17"/>
      <c r="T14" s="23"/>
      <c r="U14" s="24" t="s">
        <v>209</v>
      </c>
      <c r="V14" s="25"/>
      <c r="W14" s="25" t="n">
        <v>1432.95</v>
      </c>
      <c r="X14" s="27" t="n">
        <v>61063.38</v>
      </c>
      <c r="Y14" s="17"/>
      <c r="Z14" s="23"/>
      <c r="AA14" s="24" t="s">
        <v>210</v>
      </c>
      <c r="AB14" s="25"/>
      <c r="AC14" s="25" t="n">
        <v>28.04</v>
      </c>
      <c r="AD14" s="27" t="n">
        <v>59217.4</v>
      </c>
      <c r="AE14" s="17"/>
      <c r="AF14" s="17"/>
      <c r="AG14" s="24" t="s">
        <v>211</v>
      </c>
      <c r="AH14" s="25"/>
      <c r="AI14" s="25" t="n">
        <v>29.94</v>
      </c>
      <c r="AJ14" s="39" t="n">
        <v>122087.8</v>
      </c>
      <c r="AK14" s="17"/>
      <c r="AL14" s="17"/>
      <c r="AM14" s="24" t="s">
        <v>43</v>
      </c>
      <c r="AN14" s="25"/>
      <c r="AO14" s="25" t="n">
        <v>88.65</v>
      </c>
      <c r="AP14" s="27" t="n">
        <v>103399.78</v>
      </c>
      <c r="AQ14" s="17"/>
      <c r="AR14" s="17"/>
      <c r="AS14" s="24" t="s">
        <v>76</v>
      </c>
      <c r="AT14" s="25"/>
      <c r="AU14" s="25" t="n">
        <v>1</v>
      </c>
      <c r="AV14" s="27" t="n">
        <v>54815.86</v>
      </c>
      <c r="AW14" s="17"/>
      <c r="AX14" s="17"/>
      <c r="AY14" s="28" t="s">
        <v>94</v>
      </c>
      <c r="AZ14" s="25"/>
      <c r="BA14" s="25" t="n">
        <v>200</v>
      </c>
      <c r="BB14" s="27" t="n">
        <v>13228.81</v>
      </c>
      <c r="BC14" s="17"/>
      <c r="BD14" s="17"/>
      <c r="BE14" s="29" t="s">
        <v>132</v>
      </c>
      <c r="BF14" s="30" t="s">
        <v>151</v>
      </c>
      <c r="BG14" s="30" t="n">
        <v>53.23</v>
      </c>
      <c r="BH14" s="31" t="n">
        <v>13967.37</v>
      </c>
    </row>
    <row r="15" customFormat="false" ht="15.75" hidden="false" customHeight="true" outlineLevel="0" collapsed="false">
      <c r="A15" s="17"/>
      <c r="B15" s="17"/>
      <c r="C15" s="32" t="s">
        <v>212</v>
      </c>
      <c r="D15" s="34"/>
      <c r="E15" s="33" t="n">
        <v>2316.09</v>
      </c>
      <c r="F15" s="27" t="n">
        <v>29269.29</v>
      </c>
      <c r="G15" s="17"/>
      <c r="H15" s="17"/>
      <c r="I15" s="32" t="s">
        <v>213</v>
      </c>
      <c r="J15" s="34"/>
      <c r="K15" s="34" t="n">
        <v>463.71</v>
      </c>
      <c r="L15" s="27" t="n">
        <v>26050.16</v>
      </c>
      <c r="M15" s="23"/>
      <c r="N15" s="23"/>
      <c r="O15" s="32" t="s">
        <v>178</v>
      </c>
      <c r="P15" s="34"/>
      <c r="Q15" s="34" t="n">
        <v>1355.46</v>
      </c>
      <c r="R15" s="27" t="n">
        <v>18549.81</v>
      </c>
      <c r="S15" s="17"/>
      <c r="T15" s="23"/>
      <c r="U15" s="32" t="s">
        <v>59</v>
      </c>
      <c r="V15" s="34"/>
      <c r="W15" s="34" t="n">
        <v>2156.19</v>
      </c>
      <c r="X15" s="27" t="n">
        <v>58907.19</v>
      </c>
      <c r="Y15" s="17"/>
      <c r="Z15" s="23"/>
      <c r="AA15" s="32" t="s">
        <v>43</v>
      </c>
      <c r="AB15" s="34"/>
      <c r="AC15" s="34" t="n">
        <v>100.9</v>
      </c>
      <c r="AD15" s="27" t="n">
        <v>59116.5</v>
      </c>
      <c r="AE15" s="17"/>
      <c r="AF15" s="17"/>
      <c r="AG15" s="32" t="s">
        <v>214</v>
      </c>
      <c r="AH15" s="34" t="n">
        <v>615</v>
      </c>
      <c r="AI15" s="34"/>
      <c r="AJ15" s="39" t="n">
        <v>122702.8</v>
      </c>
      <c r="AK15" s="17"/>
      <c r="AL15" s="17"/>
      <c r="AM15" s="32" t="s">
        <v>44</v>
      </c>
      <c r="AN15" s="34"/>
      <c r="AO15" s="34" t="n">
        <v>1350</v>
      </c>
      <c r="AP15" s="27" t="n">
        <v>102049.78</v>
      </c>
      <c r="AQ15" s="17"/>
      <c r="AR15" s="17"/>
      <c r="AS15" s="32" t="s">
        <v>77</v>
      </c>
      <c r="AT15" s="34"/>
      <c r="AU15" s="34" t="n">
        <v>2546.34</v>
      </c>
      <c r="AV15" s="27" t="n">
        <v>52269.52</v>
      </c>
      <c r="AW15" s="17"/>
      <c r="AX15" s="17"/>
      <c r="AY15" s="35" t="s">
        <v>94</v>
      </c>
      <c r="AZ15" s="34"/>
      <c r="BA15" s="34" t="n">
        <v>200</v>
      </c>
      <c r="BB15" s="27" t="n">
        <v>13028.81</v>
      </c>
      <c r="BC15" s="17"/>
      <c r="BD15" s="17"/>
      <c r="BE15" s="36" t="s">
        <v>133</v>
      </c>
      <c r="BF15" s="37" t="s">
        <v>151</v>
      </c>
      <c r="BG15" s="37" t="n">
        <v>246</v>
      </c>
      <c r="BH15" s="31" t="n">
        <v>13721.37</v>
      </c>
    </row>
    <row r="16" customFormat="false" ht="20.25" hidden="false" customHeight="true" outlineLevel="0" collapsed="false">
      <c r="A16" s="17"/>
      <c r="B16" s="17"/>
      <c r="C16" s="24" t="s">
        <v>215</v>
      </c>
      <c r="D16" s="25"/>
      <c r="E16" s="38" t="n">
        <v>1099.2</v>
      </c>
      <c r="F16" s="27" t="n">
        <v>28170.09</v>
      </c>
      <c r="G16" s="17"/>
      <c r="H16" s="17"/>
      <c r="I16" s="24" t="n">
        <v>21149402</v>
      </c>
      <c r="J16" s="25"/>
      <c r="K16" s="25" t="n">
        <v>1681</v>
      </c>
      <c r="L16" s="27" t="n">
        <v>24369.16</v>
      </c>
      <c r="M16" s="23"/>
      <c r="N16" s="23"/>
      <c r="O16" s="24" t="s">
        <v>216</v>
      </c>
      <c r="P16" s="25"/>
      <c r="Q16" s="25" t="n">
        <v>140.41</v>
      </c>
      <c r="R16" s="27" t="n">
        <v>18409.4</v>
      </c>
      <c r="S16" s="17"/>
      <c r="T16" s="23"/>
      <c r="U16" s="24" t="s">
        <v>217</v>
      </c>
      <c r="V16" s="25"/>
      <c r="W16" s="25" t="n">
        <v>1178.91</v>
      </c>
      <c r="X16" s="27" t="n">
        <v>57728.28</v>
      </c>
      <c r="Y16" s="17"/>
      <c r="Z16" s="23"/>
      <c r="AA16" s="24" t="s">
        <v>218</v>
      </c>
      <c r="AB16" s="25"/>
      <c r="AC16" s="25" t="n">
        <v>4920</v>
      </c>
      <c r="AD16" s="27" t="n">
        <v>54196.5</v>
      </c>
      <c r="AE16" s="17"/>
      <c r="AF16" s="17"/>
      <c r="AG16" s="24" t="s">
        <v>184</v>
      </c>
      <c r="AH16" s="25"/>
      <c r="AI16" s="25" t="n">
        <v>90.07</v>
      </c>
      <c r="AJ16" s="39" t="n">
        <v>122612.73</v>
      </c>
      <c r="AK16" s="17"/>
      <c r="AL16" s="17"/>
      <c r="AM16" s="24" t="s">
        <v>45</v>
      </c>
      <c r="AN16" s="25"/>
      <c r="AO16" s="25" t="n">
        <v>94.5</v>
      </c>
      <c r="AP16" s="27" t="n">
        <v>101955.28</v>
      </c>
      <c r="AQ16" s="17"/>
      <c r="AR16" s="17"/>
      <c r="AS16" s="24" t="s">
        <v>78</v>
      </c>
      <c r="AT16" s="25" t="n">
        <v>22145.54</v>
      </c>
      <c r="AU16" s="25"/>
      <c r="AV16" s="27" t="n">
        <v>74415.06</v>
      </c>
      <c r="AW16" s="17"/>
      <c r="AX16" s="17"/>
      <c r="AY16" s="28" t="s">
        <v>94</v>
      </c>
      <c r="AZ16" s="25"/>
      <c r="BA16" s="25" t="n">
        <v>200</v>
      </c>
      <c r="BB16" s="27" t="n">
        <v>12828.81</v>
      </c>
      <c r="BC16" s="17"/>
      <c r="BD16" s="17"/>
      <c r="BE16" s="29" t="s">
        <v>134</v>
      </c>
      <c r="BF16" s="30" t="s">
        <v>151</v>
      </c>
      <c r="BG16" s="30" t="n">
        <v>563.34</v>
      </c>
      <c r="BH16" s="31" t="n">
        <v>13158.03</v>
      </c>
    </row>
    <row r="17" customFormat="false" ht="30.75" hidden="false" customHeight="true" outlineLevel="0" collapsed="false">
      <c r="A17" s="17"/>
      <c r="B17" s="17"/>
      <c r="C17" s="32" t="s">
        <v>219</v>
      </c>
      <c r="D17" s="34"/>
      <c r="E17" s="33" t="n">
        <v>3125.92</v>
      </c>
      <c r="F17" s="27" t="n">
        <v>25044.17</v>
      </c>
      <c r="G17" s="17"/>
      <c r="H17" s="17"/>
      <c r="I17" s="32" t="s">
        <v>220</v>
      </c>
      <c r="J17" s="34"/>
      <c r="K17" s="34" t="n">
        <v>322.95</v>
      </c>
      <c r="L17" s="27" t="n">
        <v>24046.21</v>
      </c>
      <c r="M17" s="23"/>
      <c r="N17" s="23"/>
      <c r="O17" s="32" t="s">
        <v>221</v>
      </c>
      <c r="P17" s="34"/>
      <c r="Q17" s="34" t="n">
        <v>17.17</v>
      </c>
      <c r="R17" s="27" t="n">
        <v>18392.23</v>
      </c>
      <c r="S17" s="17"/>
      <c r="T17" s="23"/>
      <c r="U17" s="32" t="s">
        <v>222</v>
      </c>
      <c r="V17" s="34"/>
      <c r="W17" s="34" t="n">
        <v>475.04</v>
      </c>
      <c r="X17" s="27" t="n">
        <v>57253.24</v>
      </c>
      <c r="Y17" s="17"/>
      <c r="Z17" s="23"/>
      <c r="AA17" s="32" t="s">
        <v>188</v>
      </c>
      <c r="AB17" s="34"/>
      <c r="AC17" s="34" t="n">
        <v>17.98</v>
      </c>
      <c r="AD17" s="27" t="n">
        <v>54178.52</v>
      </c>
      <c r="AE17" s="17"/>
      <c r="AF17" s="17"/>
      <c r="AG17" s="32" t="s">
        <v>62</v>
      </c>
      <c r="AH17" s="34"/>
      <c r="AI17" s="34" t="n">
        <v>112.63</v>
      </c>
      <c r="AJ17" s="39" t="n">
        <v>122500.1</v>
      </c>
      <c r="AK17" s="17"/>
      <c r="AL17" s="17"/>
      <c r="AM17" s="32" t="s">
        <v>46</v>
      </c>
      <c r="AN17" s="34"/>
      <c r="AO17" s="34" t="n">
        <v>166.43</v>
      </c>
      <c r="AP17" s="27" t="n">
        <v>101788.85</v>
      </c>
      <c r="AQ17" s="17"/>
      <c r="AR17" s="17"/>
      <c r="AS17" s="32" t="s">
        <v>66</v>
      </c>
      <c r="AT17" s="34"/>
      <c r="AU17" s="34" t="n">
        <v>1</v>
      </c>
      <c r="AV17" s="27" t="n">
        <v>74414.06</v>
      </c>
      <c r="AW17" s="17"/>
      <c r="AX17" s="17"/>
      <c r="AY17" s="35" t="s">
        <v>94</v>
      </c>
      <c r="AZ17" s="34"/>
      <c r="BA17" s="34" t="n">
        <v>200</v>
      </c>
      <c r="BB17" s="27" t="n">
        <v>12628.81</v>
      </c>
      <c r="BC17" s="17"/>
      <c r="BD17" s="17"/>
      <c r="BE17" s="36" t="s">
        <v>135</v>
      </c>
      <c r="BF17" s="37" t="s">
        <v>151</v>
      </c>
      <c r="BG17" s="37" t="n">
        <v>5070</v>
      </c>
      <c r="BH17" s="31" t="n">
        <v>8088.03</v>
      </c>
    </row>
    <row r="18" customFormat="false" ht="20.25" hidden="false" customHeight="true" outlineLevel="0" collapsed="false">
      <c r="A18" s="17"/>
      <c r="B18" s="17"/>
      <c r="C18" s="24" t="s">
        <v>223</v>
      </c>
      <c r="D18" s="25"/>
      <c r="E18" s="38" t="n">
        <v>5421.25</v>
      </c>
      <c r="F18" s="27" t="n">
        <v>19622.92</v>
      </c>
      <c r="G18" s="17"/>
      <c r="H18" s="17"/>
      <c r="I18" s="24" t="s">
        <v>224</v>
      </c>
      <c r="J18" s="25"/>
      <c r="K18" s="25" t="n">
        <v>335</v>
      </c>
      <c r="L18" s="27" t="n">
        <v>23711.21</v>
      </c>
      <c r="M18" s="23"/>
      <c r="N18" s="23"/>
      <c r="O18" s="24" t="s">
        <v>225</v>
      </c>
      <c r="P18" s="25"/>
      <c r="Q18" s="25" t="n">
        <v>60</v>
      </c>
      <c r="R18" s="27" t="n">
        <v>18332.23</v>
      </c>
      <c r="S18" s="17"/>
      <c r="T18" s="23"/>
      <c r="U18" s="24" t="s">
        <v>226</v>
      </c>
      <c r="V18" s="25"/>
      <c r="W18" s="25" t="n">
        <v>225</v>
      </c>
      <c r="X18" s="27" t="n">
        <v>57028.24</v>
      </c>
      <c r="Y18" s="17"/>
      <c r="Z18" s="23"/>
      <c r="AA18" s="24" t="s">
        <v>227</v>
      </c>
      <c r="AB18" s="25"/>
      <c r="AC18" s="25" t="n">
        <v>83.7</v>
      </c>
      <c r="AD18" s="27" t="n">
        <v>54094.82</v>
      </c>
      <c r="AE18" s="17"/>
      <c r="AF18" s="17"/>
      <c r="AG18" s="24" t="s">
        <v>228</v>
      </c>
      <c r="AH18" s="25" t="n">
        <v>22.27</v>
      </c>
      <c r="AI18" s="25"/>
      <c r="AJ18" s="27" t="n">
        <v>122522.37</v>
      </c>
      <c r="AK18" s="17"/>
      <c r="AL18" s="17"/>
      <c r="AM18" s="24" t="s">
        <v>47</v>
      </c>
      <c r="AN18" s="25" t="n">
        <v>1353</v>
      </c>
      <c r="AO18" s="25"/>
      <c r="AP18" s="27" t="n">
        <v>103141.85</v>
      </c>
      <c r="AQ18" s="17"/>
      <c r="AR18" s="17"/>
      <c r="AS18" s="24" t="s">
        <v>42</v>
      </c>
      <c r="AT18" s="25"/>
      <c r="AU18" s="25" t="n">
        <v>148.95</v>
      </c>
      <c r="AV18" s="27" t="n">
        <v>74265.11</v>
      </c>
      <c r="AW18" s="17"/>
      <c r="AX18" s="17"/>
      <c r="AY18" s="28" t="s">
        <v>94</v>
      </c>
      <c r="AZ18" s="25"/>
      <c r="BA18" s="25" t="n">
        <v>200</v>
      </c>
      <c r="BB18" s="27" t="n">
        <v>12428.81</v>
      </c>
      <c r="BC18" s="17"/>
      <c r="BD18" s="17"/>
      <c r="BE18" s="29" t="s">
        <v>203</v>
      </c>
      <c r="BF18" s="30" t="s">
        <v>151</v>
      </c>
      <c r="BG18" s="30" t="n">
        <v>100.8</v>
      </c>
      <c r="BH18" s="31" t="n">
        <v>7987.23</v>
      </c>
    </row>
    <row r="19" customFormat="false" ht="15.75" hidden="false" customHeight="true" outlineLevel="0" collapsed="false">
      <c r="A19" s="17"/>
      <c r="B19" s="17"/>
      <c r="C19" s="32" t="s">
        <v>229</v>
      </c>
      <c r="D19" s="34" t="n">
        <v>123</v>
      </c>
      <c r="E19" s="34"/>
      <c r="F19" s="27" t="n">
        <v>19745.92</v>
      </c>
      <c r="G19" s="17"/>
      <c r="H19" s="17"/>
      <c r="I19" s="32" t="s">
        <v>230</v>
      </c>
      <c r="J19" s="34"/>
      <c r="K19" s="34" t="n">
        <v>99.72</v>
      </c>
      <c r="L19" s="27" t="n">
        <v>23611.49</v>
      </c>
      <c r="M19" s="23"/>
      <c r="N19" s="23"/>
      <c r="O19" s="32" t="s">
        <v>217</v>
      </c>
      <c r="P19" s="34"/>
      <c r="Q19" s="34" t="n">
        <v>101.23</v>
      </c>
      <c r="R19" s="27" t="n">
        <v>18231</v>
      </c>
      <c r="S19" s="17"/>
      <c r="T19" s="23"/>
      <c r="U19" s="32" t="s">
        <v>231</v>
      </c>
      <c r="V19" s="34"/>
      <c r="W19" s="34" t="n">
        <v>346.61</v>
      </c>
      <c r="X19" s="27" t="n">
        <v>56681.63</v>
      </c>
      <c r="Y19" s="17"/>
      <c r="Z19" s="23"/>
      <c r="AA19" s="32" t="s">
        <v>198</v>
      </c>
      <c r="AB19" s="34"/>
      <c r="AC19" s="34" t="n">
        <v>3816</v>
      </c>
      <c r="AD19" s="27" t="n">
        <v>50278.82</v>
      </c>
      <c r="AE19" s="17"/>
      <c r="AF19" s="17"/>
      <c r="AG19" s="32" t="s">
        <v>232</v>
      </c>
      <c r="AH19" s="34"/>
      <c r="AI19" s="34" t="n">
        <v>60</v>
      </c>
      <c r="AJ19" s="27" t="n">
        <v>122462.37</v>
      </c>
      <c r="AK19" s="17"/>
      <c r="AL19" s="17"/>
      <c r="AM19" s="32" t="s">
        <v>48</v>
      </c>
      <c r="AN19" s="34"/>
      <c r="AO19" s="34" t="n">
        <v>1038</v>
      </c>
      <c r="AP19" s="27" t="n">
        <v>102103.85</v>
      </c>
      <c r="AQ19" s="17"/>
      <c r="AR19" s="17"/>
      <c r="AS19" s="32" t="s">
        <v>62</v>
      </c>
      <c r="AT19" s="34"/>
      <c r="AU19" s="34" t="n">
        <v>235.03</v>
      </c>
      <c r="AV19" s="27" t="n">
        <v>74030.08</v>
      </c>
      <c r="AW19" s="17"/>
      <c r="AX19" s="17"/>
      <c r="AY19" s="32" t="s">
        <v>95</v>
      </c>
      <c r="AZ19" s="34" t="n">
        <v>11404.56</v>
      </c>
      <c r="BA19" s="34"/>
      <c r="BB19" s="27" t="n">
        <v>23833.37</v>
      </c>
      <c r="BC19" s="17"/>
      <c r="BD19" s="34" t="s">
        <v>151</v>
      </c>
      <c r="BE19" s="46" t="s">
        <v>135</v>
      </c>
      <c r="BF19" s="37" t="s">
        <v>151</v>
      </c>
      <c r="BG19" s="37" t="n">
        <v>629.01</v>
      </c>
      <c r="BH19" s="31" t="n">
        <v>7358.22</v>
      </c>
    </row>
    <row r="20" customFormat="false" ht="15.75" hidden="false" customHeight="true" outlineLevel="0" collapsed="false">
      <c r="A20" s="17"/>
      <c r="B20" s="17"/>
      <c r="C20" s="24" t="s">
        <v>233</v>
      </c>
      <c r="D20" s="25"/>
      <c r="E20" s="25" t="n">
        <v>187.15</v>
      </c>
      <c r="F20" s="27" t="n">
        <v>19558.77</v>
      </c>
      <c r="G20" s="17"/>
      <c r="H20" s="17"/>
      <c r="I20" s="24" t="s">
        <v>173</v>
      </c>
      <c r="J20" s="25"/>
      <c r="K20" s="25" t="n">
        <v>3.13</v>
      </c>
      <c r="L20" s="27" t="n">
        <v>23608.36</v>
      </c>
      <c r="M20" s="23"/>
      <c r="N20" s="23"/>
      <c r="O20" s="24" t="s">
        <v>234</v>
      </c>
      <c r="P20" s="25"/>
      <c r="Q20" s="25" t="n">
        <v>246</v>
      </c>
      <c r="R20" s="27" t="n">
        <v>17985</v>
      </c>
      <c r="S20" s="17"/>
      <c r="T20" s="23"/>
      <c r="U20" s="24" t="s">
        <v>235</v>
      </c>
      <c r="V20" s="25"/>
      <c r="W20" s="25" t="n">
        <v>397.31</v>
      </c>
      <c r="X20" s="27" t="n">
        <v>56284.32</v>
      </c>
      <c r="Y20" s="17"/>
      <c r="Z20" s="23"/>
      <c r="AA20" s="24" t="s">
        <v>236</v>
      </c>
      <c r="AB20" s="25" t="n">
        <v>3136.5</v>
      </c>
      <c r="AC20" s="25"/>
      <c r="AD20" s="27" t="n">
        <v>53415.32</v>
      </c>
      <c r="AE20" s="17"/>
      <c r="AF20" s="17"/>
      <c r="AG20" s="24" t="s">
        <v>184</v>
      </c>
      <c r="AH20" s="25"/>
      <c r="AI20" s="25" t="n">
        <v>212.24</v>
      </c>
      <c r="AJ20" s="39" t="n">
        <v>122250.13</v>
      </c>
      <c r="AK20" s="17"/>
      <c r="AL20" s="17"/>
      <c r="AM20" s="24" t="s">
        <v>49</v>
      </c>
      <c r="AN20" s="25"/>
      <c r="AO20" s="25" t="n">
        <v>29.7</v>
      </c>
      <c r="AP20" s="27" t="n">
        <v>102074.15</v>
      </c>
      <c r="AQ20" s="17"/>
      <c r="AR20" s="17"/>
      <c r="AS20" s="24" t="s">
        <v>74</v>
      </c>
      <c r="AT20" s="25"/>
      <c r="AU20" s="25" t="n">
        <v>176.79</v>
      </c>
      <c r="AV20" s="27" t="n">
        <v>73853.29</v>
      </c>
      <c r="AW20" s="17"/>
      <c r="AX20" s="17"/>
      <c r="AY20" s="24" t="s">
        <v>96</v>
      </c>
      <c r="AZ20" s="25"/>
      <c r="BA20" s="25" t="n">
        <v>42.55</v>
      </c>
      <c r="BB20" s="27" t="n">
        <v>23790.82</v>
      </c>
      <c r="BC20" s="17"/>
      <c r="BD20" s="17"/>
      <c r="BE20" s="47" t="s">
        <v>136</v>
      </c>
      <c r="BF20" s="30" t="s">
        <v>151</v>
      </c>
      <c r="BG20" s="30" t="n">
        <v>1230</v>
      </c>
      <c r="BH20" s="31" t="n">
        <v>6128.22</v>
      </c>
    </row>
    <row r="21" customFormat="false" ht="15.75" hidden="false" customHeight="true" outlineLevel="0" collapsed="false">
      <c r="A21" s="17"/>
      <c r="B21" s="17"/>
      <c r="C21" s="32" t="s">
        <v>237</v>
      </c>
      <c r="D21" s="34"/>
      <c r="E21" s="34" t="n">
        <v>510.36</v>
      </c>
      <c r="F21" s="27" t="n">
        <v>19048.41</v>
      </c>
      <c r="G21" s="17"/>
      <c r="H21" s="17"/>
      <c r="I21" s="32" t="s">
        <v>173</v>
      </c>
      <c r="J21" s="34"/>
      <c r="K21" s="34" t="n">
        <v>1.85</v>
      </c>
      <c r="L21" s="27" t="n">
        <v>23606.51</v>
      </c>
      <c r="M21" s="23"/>
      <c r="N21" s="23"/>
      <c r="O21" s="32" t="s">
        <v>234</v>
      </c>
      <c r="P21" s="34"/>
      <c r="Q21" s="34" t="n">
        <v>615</v>
      </c>
      <c r="R21" s="27" t="n">
        <v>17370</v>
      </c>
      <c r="S21" s="17"/>
      <c r="T21" s="23"/>
      <c r="U21" s="32" t="s">
        <v>238</v>
      </c>
      <c r="V21" s="34"/>
      <c r="W21" s="34" t="n">
        <v>220.17</v>
      </c>
      <c r="X21" s="27" t="n">
        <v>56064.15</v>
      </c>
      <c r="Y21" s="17"/>
      <c r="Z21" s="23"/>
      <c r="AA21" s="32" t="s">
        <v>62</v>
      </c>
      <c r="AB21" s="34"/>
      <c r="AC21" s="34" t="n">
        <v>1.23</v>
      </c>
      <c r="AD21" s="27" t="n">
        <v>53414.09</v>
      </c>
      <c r="AE21" s="17"/>
      <c r="AF21" s="17"/>
      <c r="AG21" s="32" t="s">
        <v>239</v>
      </c>
      <c r="AH21" s="34"/>
      <c r="AI21" s="34" t="n">
        <v>6554</v>
      </c>
      <c r="AJ21" s="39" t="n">
        <v>115696.13</v>
      </c>
      <c r="AK21" s="17"/>
      <c r="AL21" s="17"/>
      <c r="AM21" s="32" t="s">
        <v>50</v>
      </c>
      <c r="AN21" s="34"/>
      <c r="AO21" s="34" t="n">
        <v>1</v>
      </c>
      <c r="AP21" s="27" t="n">
        <v>102073.15</v>
      </c>
      <c r="AQ21" s="17"/>
      <c r="AR21" s="17"/>
      <c r="AS21" s="32" t="s">
        <v>240</v>
      </c>
      <c r="AT21" s="34" t="n">
        <v>3136.5</v>
      </c>
      <c r="AU21" s="34"/>
      <c r="AV21" s="27" t="n">
        <v>76989.79</v>
      </c>
      <c r="AW21" s="17"/>
      <c r="AX21" s="17"/>
      <c r="AY21" s="32" t="s">
        <v>97</v>
      </c>
      <c r="AZ21" s="34"/>
      <c r="BA21" s="34" t="n">
        <v>1250</v>
      </c>
      <c r="BB21" s="27" t="n">
        <v>22540.82</v>
      </c>
      <c r="BC21" s="17"/>
      <c r="BD21" s="17"/>
      <c r="BE21" s="46" t="s">
        <v>137</v>
      </c>
      <c r="BF21" s="37" t="s">
        <v>151</v>
      </c>
      <c r="BG21" s="37" t="n">
        <v>36.32</v>
      </c>
      <c r="BH21" s="31" t="n">
        <v>6091.9</v>
      </c>
    </row>
    <row r="22" customFormat="false" ht="15.75" hidden="false" customHeight="true" outlineLevel="0" collapsed="false">
      <c r="A22" s="17"/>
      <c r="B22" s="17"/>
      <c r="C22" s="24" t="s">
        <v>241</v>
      </c>
      <c r="D22" s="25"/>
      <c r="E22" s="38" t="n">
        <v>1444.02</v>
      </c>
      <c r="F22" s="27" t="n">
        <v>17604.39</v>
      </c>
      <c r="G22" s="17"/>
      <c r="H22" s="17"/>
      <c r="I22" s="24" t="s">
        <v>173</v>
      </c>
      <c r="J22" s="25"/>
      <c r="K22" s="25" t="n">
        <v>70.26</v>
      </c>
      <c r="L22" s="27" t="n">
        <v>23536.25</v>
      </c>
      <c r="M22" s="23"/>
      <c r="N22" s="23"/>
      <c r="O22" s="24" t="s">
        <v>234</v>
      </c>
      <c r="P22" s="25"/>
      <c r="Q22" s="25" t="n">
        <v>246</v>
      </c>
      <c r="R22" s="27" t="n">
        <v>17124</v>
      </c>
      <c r="S22" s="17"/>
      <c r="T22" s="23"/>
      <c r="U22" s="24" t="s">
        <v>242</v>
      </c>
      <c r="V22" s="25"/>
      <c r="W22" s="25" t="n">
        <v>3125.92</v>
      </c>
      <c r="X22" s="27" t="n">
        <v>52938.23</v>
      </c>
      <c r="Y22" s="17"/>
      <c r="Z22" s="23"/>
      <c r="AA22" s="24" t="s">
        <v>243</v>
      </c>
      <c r="AB22" s="25"/>
      <c r="AC22" s="25" t="n">
        <v>50.36</v>
      </c>
      <c r="AD22" s="27" t="n">
        <v>53363.73</v>
      </c>
      <c r="AE22" s="17"/>
      <c r="AF22" s="17"/>
      <c r="AG22" s="48" t="s">
        <v>239</v>
      </c>
      <c r="AH22" s="49" t="s">
        <v>151</v>
      </c>
      <c r="AI22" s="49" t="n">
        <v>1105.94</v>
      </c>
      <c r="AJ22" s="50" t="n">
        <v>114590.19</v>
      </c>
      <c r="AK22" s="17"/>
      <c r="AL22" s="17"/>
      <c r="AM22" s="24" t="s">
        <v>51</v>
      </c>
      <c r="AN22" s="25"/>
      <c r="AO22" s="25" t="n">
        <v>236.5</v>
      </c>
      <c r="AP22" s="27" t="n">
        <v>101836.65</v>
      </c>
      <c r="AQ22" s="17"/>
      <c r="AR22" s="17"/>
      <c r="AS22" s="24" t="s">
        <v>80</v>
      </c>
      <c r="AT22" s="25" t="n">
        <v>886</v>
      </c>
      <c r="AU22" s="25"/>
      <c r="AV22" s="27" t="n">
        <v>77875.79</v>
      </c>
      <c r="AW22" s="17"/>
      <c r="AX22" s="17"/>
      <c r="AY22" s="24" t="s">
        <v>98</v>
      </c>
      <c r="AZ22" s="25"/>
      <c r="BA22" s="25" t="n">
        <v>1250</v>
      </c>
      <c r="BB22" s="27" t="n">
        <v>21290.82</v>
      </c>
      <c r="BC22" s="17"/>
      <c r="BD22" s="17"/>
      <c r="BE22" s="47" t="s">
        <v>138</v>
      </c>
      <c r="BF22" s="30" t="n">
        <v>35590.05</v>
      </c>
      <c r="BG22" s="30" t="s">
        <v>151</v>
      </c>
      <c r="BH22" s="31" t="n">
        <v>41681.95</v>
      </c>
    </row>
    <row r="23" customFormat="false" ht="15.75" hidden="false" customHeight="true" outlineLevel="0" collapsed="false">
      <c r="A23" s="17"/>
      <c r="B23" s="17"/>
      <c r="C23" s="32" t="s">
        <v>233</v>
      </c>
      <c r="D23" s="34"/>
      <c r="E23" s="33" t="n">
        <v>1877.26</v>
      </c>
      <c r="F23" s="27" t="n">
        <v>15727.13</v>
      </c>
      <c r="G23" s="17"/>
      <c r="H23" s="17"/>
      <c r="I23" s="32" t="s">
        <v>244</v>
      </c>
      <c r="J23" s="34"/>
      <c r="K23" s="34" t="n">
        <v>481.11</v>
      </c>
      <c r="L23" s="27" t="n">
        <v>23055.14</v>
      </c>
      <c r="M23" s="23"/>
      <c r="N23" s="23"/>
      <c r="O23" s="32" t="s">
        <v>245</v>
      </c>
      <c r="P23" s="34"/>
      <c r="Q23" s="34" t="n">
        <v>466.5</v>
      </c>
      <c r="R23" s="27" t="n">
        <v>16657.5</v>
      </c>
      <c r="S23" s="17"/>
      <c r="T23" s="23"/>
      <c r="U23" s="32" t="s">
        <v>246</v>
      </c>
      <c r="V23" s="34"/>
      <c r="W23" s="34" t="n">
        <v>25</v>
      </c>
      <c r="X23" s="27" t="n">
        <v>52913.23</v>
      </c>
      <c r="Y23" s="17"/>
      <c r="Z23" s="23"/>
      <c r="AA23" s="32" t="s">
        <v>247</v>
      </c>
      <c r="AB23" s="34"/>
      <c r="AC23" s="34" t="n">
        <v>277.12</v>
      </c>
      <c r="AD23" s="27" t="n">
        <v>53086.61</v>
      </c>
      <c r="AE23" s="17"/>
      <c r="AF23" s="51" t="s">
        <v>248</v>
      </c>
      <c r="AG23" s="32" t="s">
        <v>171</v>
      </c>
      <c r="AH23" s="34"/>
      <c r="AI23" s="34" t="n">
        <v>246</v>
      </c>
      <c r="AJ23" s="39" t="n">
        <v>114344.19</v>
      </c>
      <c r="AK23" s="17"/>
      <c r="AL23" s="51"/>
      <c r="AM23" s="32" t="s">
        <v>52</v>
      </c>
      <c r="AN23" s="34"/>
      <c r="AO23" s="34" t="n">
        <v>14367</v>
      </c>
      <c r="AP23" s="27" t="n">
        <v>87469.65</v>
      </c>
      <c r="AQ23" s="17" t="n">
        <v>15488.07</v>
      </c>
      <c r="AR23" s="51"/>
      <c r="AS23" s="32" t="s">
        <v>81</v>
      </c>
      <c r="AT23" s="34"/>
      <c r="AU23" s="34" t="n">
        <v>680.88</v>
      </c>
      <c r="AV23" s="27" t="n">
        <v>77194.91</v>
      </c>
      <c r="AW23" s="17"/>
      <c r="AX23" s="51"/>
      <c r="AY23" s="32" t="s">
        <v>99</v>
      </c>
      <c r="AZ23" s="34"/>
      <c r="BA23" s="34" t="n">
        <v>9.96</v>
      </c>
      <c r="BB23" s="27" t="n">
        <v>21280.86</v>
      </c>
      <c r="BC23" s="17"/>
      <c r="BD23" s="17"/>
      <c r="BE23" s="46" t="s">
        <v>139</v>
      </c>
      <c r="BF23" s="37" t="s">
        <v>151</v>
      </c>
      <c r="BG23" s="37" t="n">
        <v>249.66</v>
      </c>
      <c r="BH23" s="31" t="n">
        <v>41432.29</v>
      </c>
    </row>
    <row r="24" customFormat="false" ht="15.75" hidden="false" customHeight="true" outlineLevel="0" collapsed="false">
      <c r="A24" s="17"/>
      <c r="B24" s="17"/>
      <c r="C24" s="24" t="s">
        <v>174</v>
      </c>
      <c r="D24" s="25"/>
      <c r="E24" s="25" t="n">
        <v>55.25</v>
      </c>
      <c r="F24" s="27" t="n">
        <v>15671.88</v>
      </c>
      <c r="G24" s="17"/>
      <c r="H24" s="17"/>
      <c r="I24" s="24" t="s">
        <v>249</v>
      </c>
      <c r="J24" s="25"/>
      <c r="K24" s="25" t="n">
        <v>1954</v>
      </c>
      <c r="L24" s="27" t="n">
        <v>21101.14</v>
      </c>
      <c r="M24" s="23"/>
      <c r="N24" s="23"/>
      <c r="O24" s="24" t="s">
        <v>216</v>
      </c>
      <c r="P24" s="25"/>
      <c r="Q24" s="25" t="n">
        <v>103.2</v>
      </c>
      <c r="R24" s="27" t="n">
        <v>16554.3</v>
      </c>
      <c r="S24" s="17"/>
      <c r="T24" s="23"/>
      <c r="U24" s="24" t="s">
        <v>250</v>
      </c>
      <c r="V24" s="25"/>
      <c r="W24" s="25" t="n">
        <v>156.4</v>
      </c>
      <c r="X24" s="27" t="n">
        <v>52756.83</v>
      </c>
      <c r="Y24" s="17"/>
      <c r="Z24" s="23"/>
      <c r="AA24" s="24" t="s">
        <v>247</v>
      </c>
      <c r="AB24" s="25"/>
      <c r="AC24" s="25" t="n">
        <v>195.29</v>
      </c>
      <c r="AD24" s="27" t="n">
        <v>52891.32</v>
      </c>
      <c r="AE24" s="17"/>
      <c r="AF24" s="17"/>
      <c r="AG24" s="24" t="s">
        <v>63</v>
      </c>
      <c r="AH24" s="25"/>
      <c r="AI24" s="25" t="n">
        <v>3782.15</v>
      </c>
      <c r="AJ24" s="39" t="n">
        <v>110562.04</v>
      </c>
      <c r="AK24" s="17"/>
      <c r="AL24" s="17"/>
      <c r="AM24" s="24" t="s">
        <v>52</v>
      </c>
      <c r="AN24" s="25"/>
      <c r="AO24" s="25" t="n">
        <v>1121.07</v>
      </c>
      <c r="AP24" s="27" t="n">
        <v>86348.58</v>
      </c>
      <c r="AQ24" s="17"/>
      <c r="AR24" s="17"/>
      <c r="AS24" s="24"/>
      <c r="AT24" s="25"/>
      <c r="AU24" s="25"/>
      <c r="AV24" s="27" t="n">
        <v>77194.91</v>
      </c>
      <c r="AW24" s="17"/>
      <c r="AX24" s="17"/>
      <c r="AY24" s="24" t="s">
        <v>100</v>
      </c>
      <c r="AZ24" s="25"/>
      <c r="BA24" s="25" t="n">
        <v>51</v>
      </c>
      <c r="BB24" s="27" t="n">
        <v>21229.86</v>
      </c>
      <c r="BC24" s="17"/>
      <c r="BD24" s="17"/>
      <c r="BE24" s="47" t="s">
        <v>139</v>
      </c>
      <c r="BF24" s="30" t="s">
        <v>151</v>
      </c>
      <c r="BG24" s="30" t="n">
        <v>187.54</v>
      </c>
      <c r="BH24" s="31" t="n">
        <v>41244.75</v>
      </c>
    </row>
    <row r="25" customFormat="false" ht="15.75" hidden="false" customHeight="true" outlineLevel="0" collapsed="false">
      <c r="A25" s="17"/>
      <c r="B25" s="17"/>
      <c r="C25" s="32" t="s">
        <v>251</v>
      </c>
      <c r="D25" s="34"/>
      <c r="E25" s="34" t="n">
        <v>94.35</v>
      </c>
      <c r="F25" s="27" t="n">
        <v>15577.53</v>
      </c>
      <c r="G25" s="17"/>
      <c r="H25" s="17"/>
      <c r="I25" s="41" t="s">
        <v>252</v>
      </c>
      <c r="J25" s="42" t="s">
        <v>151</v>
      </c>
      <c r="K25" s="42" t="n">
        <v>16.86</v>
      </c>
      <c r="L25" s="44" t="n">
        <v>21084.28</v>
      </c>
      <c r="M25" s="23"/>
      <c r="N25" s="23"/>
      <c r="O25" s="32" t="s">
        <v>137</v>
      </c>
      <c r="P25" s="34"/>
      <c r="Q25" s="34" t="n">
        <v>14.24</v>
      </c>
      <c r="R25" s="27" t="n">
        <v>16540.06</v>
      </c>
      <c r="S25" s="17"/>
      <c r="T25" s="23"/>
      <c r="U25" s="32" t="s">
        <v>253</v>
      </c>
      <c r="V25" s="34"/>
      <c r="W25" s="34" t="n">
        <v>560.9</v>
      </c>
      <c r="X25" s="27" t="n">
        <v>52195.93</v>
      </c>
      <c r="Y25" s="17"/>
      <c r="Z25" s="23"/>
      <c r="AA25" s="32" t="s">
        <v>254</v>
      </c>
      <c r="AB25" s="34"/>
      <c r="AC25" s="34" t="n">
        <v>6960</v>
      </c>
      <c r="AD25" s="27" t="n">
        <v>45931.32</v>
      </c>
      <c r="AE25" s="17"/>
      <c r="AF25" s="17"/>
      <c r="AG25" s="32" t="s">
        <v>63</v>
      </c>
      <c r="AH25" s="34"/>
      <c r="AI25" s="34" t="n">
        <v>3782.15</v>
      </c>
      <c r="AJ25" s="39" t="n">
        <v>106779.89</v>
      </c>
      <c r="AK25" s="17"/>
      <c r="AL25" s="17"/>
      <c r="AM25" s="32" t="s">
        <v>42</v>
      </c>
      <c r="AN25" s="34"/>
      <c r="AO25" s="34" t="n">
        <v>32.53</v>
      </c>
      <c r="AP25" s="27" t="n">
        <v>86316.05</v>
      </c>
      <c r="AQ25" s="17"/>
      <c r="AR25" s="17"/>
      <c r="AS25" s="32" t="s">
        <v>39</v>
      </c>
      <c r="AT25" s="34"/>
      <c r="AU25" s="34" t="n">
        <v>246</v>
      </c>
      <c r="AV25" s="27" t="n">
        <v>76948.91</v>
      </c>
      <c r="AW25" s="17"/>
      <c r="AX25" s="17"/>
      <c r="AY25" s="32" t="s">
        <v>101</v>
      </c>
      <c r="AZ25" s="34"/>
      <c r="BA25" s="34" t="n">
        <v>62.26</v>
      </c>
      <c r="BB25" s="27" t="n">
        <v>21167.6</v>
      </c>
      <c r="BC25" s="17"/>
      <c r="BD25" s="17"/>
      <c r="BE25" s="46" t="s">
        <v>122</v>
      </c>
      <c r="BF25" s="37" t="s">
        <v>151</v>
      </c>
      <c r="BG25" s="37" t="n">
        <v>1250</v>
      </c>
      <c r="BH25" s="31" t="n">
        <v>39994.75</v>
      </c>
    </row>
    <row r="26" customFormat="false" ht="15.75" hidden="false" customHeight="true" outlineLevel="0" collapsed="false">
      <c r="A26" s="17"/>
      <c r="B26" s="17"/>
      <c r="C26" s="24" t="s">
        <v>145</v>
      </c>
      <c r="D26" s="25"/>
      <c r="E26" s="25" t="n">
        <v>99.74</v>
      </c>
      <c r="F26" s="27" t="n">
        <v>15477.79</v>
      </c>
      <c r="G26" s="17"/>
      <c r="H26" s="45" t="s">
        <v>255</v>
      </c>
      <c r="I26" s="24" t="s">
        <v>256</v>
      </c>
      <c r="J26" s="25"/>
      <c r="K26" s="25" t="n">
        <v>115.88</v>
      </c>
      <c r="L26" s="27" t="n">
        <v>20968.4</v>
      </c>
      <c r="M26" s="23"/>
      <c r="N26" s="23"/>
      <c r="O26" s="24" t="s">
        <v>257</v>
      </c>
      <c r="P26" s="25"/>
      <c r="Q26" s="25" t="n">
        <v>103.24</v>
      </c>
      <c r="R26" s="27" t="n">
        <v>16436.82</v>
      </c>
      <c r="S26" s="17"/>
      <c r="T26" s="23"/>
      <c r="U26" s="24" t="s">
        <v>105</v>
      </c>
      <c r="V26" s="25"/>
      <c r="W26" s="25" t="n">
        <v>135.64</v>
      </c>
      <c r="X26" s="27" t="n">
        <v>52060.29</v>
      </c>
      <c r="Y26" s="17"/>
      <c r="Z26" s="23"/>
      <c r="AA26" s="24" t="s">
        <v>258</v>
      </c>
      <c r="AB26" s="25"/>
      <c r="AC26" s="25" t="n">
        <v>6.9</v>
      </c>
      <c r="AD26" s="27" t="n">
        <v>45924.42</v>
      </c>
      <c r="AE26" s="17"/>
      <c r="AF26" s="17"/>
      <c r="AG26" s="24" t="s">
        <v>259</v>
      </c>
      <c r="AH26" s="25"/>
      <c r="AI26" s="25" t="n">
        <v>2561.93</v>
      </c>
      <c r="AJ26" s="39" t="n">
        <v>104217.96</v>
      </c>
      <c r="AK26" s="17"/>
      <c r="AL26" s="17"/>
      <c r="AM26" s="24" t="s">
        <v>53</v>
      </c>
      <c r="AN26" s="25"/>
      <c r="AO26" s="25" t="n">
        <v>2626.36</v>
      </c>
      <c r="AP26" s="27" t="n">
        <v>83689.69</v>
      </c>
      <c r="AQ26" s="17"/>
      <c r="AR26" s="17"/>
      <c r="AS26" s="24" t="s">
        <v>260</v>
      </c>
      <c r="AT26" s="25"/>
      <c r="AU26" s="25" t="n">
        <v>700</v>
      </c>
      <c r="AV26" s="27" t="n">
        <v>76248.91</v>
      </c>
      <c r="AW26" s="17"/>
      <c r="AX26" s="17"/>
      <c r="AY26" s="24" t="s">
        <v>96</v>
      </c>
      <c r="AZ26" s="25"/>
      <c r="BA26" s="25" t="n">
        <v>39.1</v>
      </c>
      <c r="BB26" s="27" t="n">
        <v>21128.5</v>
      </c>
      <c r="BC26" s="17"/>
      <c r="BD26" s="17"/>
      <c r="BE26" s="47" t="s">
        <v>123</v>
      </c>
      <c r="BF26" s="30" t="s">
        <v>151</v>
      </c>
      <c r="BG26" s="30" t="n">
        <v>1250</v>
      </c>
      <c r="BH26" s="31" t="n">
        <v>38744.75</v>
      </c>
    </row>
    <row r="27" customFormat="false" ht="15.75" hidden="false" customHeight="true" outlineLevel="0" collapsed="false">
      <c r="A27" s="17"/>
      <c r="B27" s="17"/>
      <c r="C27" s="32" t="s">
        <v>241</v>
      </c>
      <c r="D27" s="34"/>
      <c r="E27" s="34" t="n">
        <v>223.86</v>
      </c>
      <c r="F27" s="27" t="n">
        <v>15253.93</v>
      </c>
      <c r="G27" s="17"/>
      <c r="H27" s="17"/>
      <c r="I27" s="32" t="s">
        <v>165</v>
      </c>
      <c r="J27" s="34"/>
      <c r="K27" s="34" t="n">
        <v>9.96</v>
      </c>
      <c r="L27" s="27" t="n">
        <v>20958.44</v>
      </c>
      <c r="M27" s="23"/>
      <c r="N27" s="23"/>
      <c r="O27" s="32" t="s">
        <v>261</v>
      </c>
      <c r="P27" s="34"/>
      <c r="Q27" s="34" t="n">
        <v>140.75</v>
      </c>
      <c r="R27" s="27" t="n">
        <v>16296.07</v>
      </c>
      <c r="S27" s="17"/>
      <c r="T27" s="23"/>
      <c r="U27" s="32" t="s">
        <v>262</v>
      </c>
      <c r="V27" s="34"/>
      <c r="W27" s="34" t="n">
        <v>91.51</v>
      </c>
      <c r="X27" s="27" t="n">
        <v>51968.78</v>
      </c>
      <c r="Y27" s="17"/>
      <c r="Z27" s="23"/>
      <c r="AA27" s="32" t="s">
        <v>258</v>
      </c>
      <c r="AB27" s="34"/>
      <c r="AC27" s="34" t="n">
        <v>13.5</v>
      </c>
      <c r="AD27" s="27" t="n">
        <v>45910.92</v>
      </c>
      <c r="AE27" s="17"/>
      <c r="AF27" s="17"/>
      <c r="AG27" s="32" t="s">
        <v>259</v>
      </c>
      <c r="AH27" s="34"/>
      <c r="AI27" s="34" t="n">
        <v>2561.91</v>
      </c>
      <c r="AJ27" s="39" t="n">
        <v>101656.05</v>
      </c>
      <c r="AK27" s="17"/>
      <c r="AL27" s="51" t="s">
        <v>263</v>
      </c>
      <c r="AM27" s="41" t="s">
        <v>43</v>
      </c>
      <c r="AN27" s="42" t="s">
        <v>151</v>
      </c>
      <c r="AO27" s="42" t="n">
        <v>16.7</v>
      </c>
      <c r="AP27" s="44" t="n">
        <v>83672.99</v>
      </c>
      <c r="AQ27" s="17"/>
      <c r="AR27" s="51"/>
      <c r="AS27" s="32" t="s">
        <v>233</v>
      </c>
      <c r="AT27" s="34"/>
      <c r="AU27" s="34" t="n">
        <v>905.22</v>
      </c>
      <c r="AV27" s="27" t="n">
        <v>75343.69</v>
      </c>
      <c r="AW27" s="17"/>
      <c r="AX27" s="51"/>
      <c r="AY27" s="32" t="s">
        <v>96</v>
      </c>
      <c r="AZ27" s="34"/>
      <c r="BA27" s="34" t="n">
        <v>542.95</v>
      </c>
      <c r="BB27" s="27" t="n">
        <v>20585.55</v>
      </c>
      <c r="BC27" s="17"/>
      <c r="BD27" s="17"/>
      <c r="BE27" s="46" t="s">
        <v>140</v>
      </c>
      <c r="BF27" s="37" t="s">
        <v>151</v>
      </c>
      <c r="BG27" s="37" t="n">
        <v>75.57</v>
      </c>
      <c r="BH27" s="31" t="n">
        <v>38669.18</v>
      </c>
    </row>
    <row r="28" customFormat="false" ht="15.75" hidden="false" customHeight="true" outlineLevel="0" collapsed="false">
      <c r="A28" s="17"/>
      <c r="B28" s="17"/>
      <c r="C28" s="24" t="s">
        <v>233</v>
      </c>
      <c r="D28" s="25"/>
      <c r="E28" s="25" t="n">
        <v>243.54</v>
      </c>
      <c r="F28" s="27" t="n">
        <v>15010.39</v>
      </c>
      <c r="G28" s="17"/>
      <c r="H28" s="17"/>
      <c r="I28" s="24" t="s">
        <v>137</v>
      </c>
      <c r="J28" s="25"/>
      <c r="K28" s="25" t="n">
        <v>7.32</v>
      </c>
      <c r="L28" s="27" t="n">
        <v>20951.12</v>
      </c>
      <c r="M28" s="23"/>
      <c r="N28" s="23"/>
      <c r="O28" s="24" t="s">
        <v>264</v>
      </c>
      <c r="P28" s="25"/>
      <c r="Q28" s="25" t="n">
        <v>2504.92</v>
      </c>
      <c r="R28" s="27" t="n">
        <v>13791.15</v>
      </c>
      <c r="S28" s="17"/>
      <c r="T28" s="23"/>
      <c r="U28" s="24" t="s">
        <v>265</v>
      </c>
      <c r="V28" s="25"/>
      <c r="W28" s="25" t="n">
        <v>1467.34</v>
      </c>
      <c r="X28" s="27" t="n">
        <v>50501.44</v>
      </c>
      <c r="Y28" s="17"/>
      <c r="Z28" s="23"/>
      <c r="AA28" s="24" t="s">
        <v>258</v>
      </c>
      <c r="AB28" s="25"/>
      <c r="AC28" s="25" t="n">
        <v>46.37</v>
      </c>
      <c r="AD28" s="27" t="n">
        <v>45864.55</v>
      </c>
      <c r="AE28" s="17"/>
      <c r="AF28" s="17"/>
      <c r="AG28" s="24" t="s">
        <v>36</v>
      </c>
      <c r="AH28" s="25"/>
      <c r="AI28" s="25" t="n">
        <v>9.96</v>
      </c>
      <c r="AJ28" s="27" t="n">
        <v>101646.09</v>
      </c>
      <c r="AK28" s="17"/>
      <c r="AL28" s="17"/>
      <c r="AM28" s="24" t="s">
        <v>39</v>
      </c>
      <c r="AN28" s="25"/>
      <c r="AO28" s="25" t="n">
        <v>246</v>
      </c>
      <c r="AP28" s="27" t="n">
        <v>83426.99</v>
      </c>
      <c r="AQ28" s="17"/>
      <c r="AR28" s="17"/>
      <c r="AS28" s="48" t="s">
        <v>73</v>
      </c>
      <c r="AT28" s="49" t="s">
        <v>151</v>
      </c>
      <c r="AU28" s="49" t="n">
        <v>109.42</v>
      </c>
      <c r="AV28" s="44" t="n">
        <v>75234.27</v>
      </c>
      <c r="AW28" s="17"/>
      <c r="AX28" s="17"/>
      <c r="AY28" s="48" t="s">
        <v>266</v>
      </c>
      <c r="AZ28" s="49" t="n">
        <v>20172</v>
      </c>
      <c r="BA28" s="49" t="s">
        <v>151</v>
      </c>
      <c r="BB28" s="27" t="n">
        <v>40757.55</v>
      </c>
      <c r="BC28" s="17"/>
      <c r="BD28" s="17"/>
      <c r="BE28" s="47" t="s">
        <v>125</v>
      </c>
      <c r="BF28" s="30" t="s">
        <v>151</v>
      </c>
      <c r="BG28" s="30" t="n">
        <v>9.96</v>
      </c>
      <c r="BH28" s="31" t="n">
        <v>38659.22</v>
      </c>
    </row>
    <row r="29" customFormat="false" ht="15.75" hidden="false" customHeight="true" outlineLevel="0" collapsed="false">
      <c r="A29" s="17"/>
      <c r="B29" s="17"/>
      <c r="C29" s="52" t="s">
        <v>151</v>
      </c>
      <c r="D29" s="53" t="n">
        <v>40025.59</v>
      </c>
      <c r="E29" s="54" t="n">
        <v>25015.2</v>
      </c>
      <c r="F29" s="55"/>
      <c r="G29" s="17"/>
      <c r="H29" s="17"/>
      <c r="I29" s="32" t="s">
        <v>137</v>
      </c>
      <c r="J29" s="34"/>
      <c r="K29" s="34" t="n">
        <v>77.34</v>
      </c>
      <c r="L29" s="27" t="n">
        <v>20873.78</v>
      </c>
      <c r="M29" s="23"/>
      <c r="N29" s="23"/>
      <c r="O29" s="32" t="s">
        <v>249</v>
      </c>
      <c r="P29" s="34"/>
      <c r="Q29" s="34" t="n">
        <v>427.9</v>
      </c>
      <c r="R29" s="27" t="n">
        <v>13363.25</v>
      </c>
      <c r="S29" s="17"/>
      <c r="T29" s="23"/>
      <c r="U29" s="32" t="s">
        <v>202</v>
      </c>
      <c r="V29" s="34"/>
      <c r="W29" s="34" t="n">
        <v>293.42</v>
      </c>
      <c r="X29" s="27" t="n">
        <v>50208.02</v>
      </c>
      <c r="Y29" s="17"/>
      <c r="Z29" s="23"/>
      <c r="AA29" s="32" t="s">
        <v>167</v>
      </c>
      <c r="AB29" s="34" t="n">
        <v>13.36</v>
      </c>
      <c r="AC29" s="34"/>
      <c r="AD29" s="27" t="n">
        <v>45877.91</v>
      </c>
      <c r="AE29" s="17"/>
      <c r="AF29" s="17"/>
      <c r="AG29" s="32" t="s">
        <v>267</v>
      </c>
      <c r="AH29" s="34" t="n">
        <v>3928.62</v>
      </c>
      <c r="AI29" s="34"/>
      <c r="AJ29" s="27" t="n">
        <v>105574.71</v>
      </c>
      <c r="AK29" s="17"/>
      <c r="AL29" s="34" t="n">
        <v>1723.69</v>
      </c>
      <c r="AM29" s="32" t="s">
        <v>54</v>
      </c>
      <c r="AN29" s="34"/>
      <c r="AO29" s="34" t="n">
        <v>1734.69</v>
      </c>
      <c r="AP29" s="27" t="n">
        <v>81692.3</v>
      </c>
      <c r="AQ29" s="17"/>
      <c r="AR29" s="17"/>
      <c r="AS29" s="32" t="s">
        <v>71</v>
      </c>
      <c r="AT29" s="34"/>
      <c r="AU29" s="34" t="n">
        <v>51</v>
      </c>
      <c r="AV29" s="27" t="n">
        <v>75183.27</v>
      </c>
      <c r="AW29" s="17"/>
      <c r="AX29" s="17"/>
      <c r="AY29" s="32" t="s">
        <v>103</v>
      </c>
      <c r="AZ29" s="34"/>
      <c r="BA29" s="34" t="n">
        <v>40</v>
      </c>
      <c r="BB29" s="27" t="n">
        <v>40717.55</v>
      </c>
      <c r="BC29" s="17"/>
      <c r="BD29" s="17"/>
      <c r="BE29" s="46" t="s">
        <v>141</v>
      </c>
      <c r="BF29" s="37" t="s">
        <v>151</v>
      </c>
      <c r="BG29" s="37" t="n">
        <v>124.96</v>
      </c>
      <c r="BH29" s="31" t="n">
        <v>38534.26</v>
      </c>
    </row>
    <row r="30" customFormat="false" ht="15.75" hidden="false" customHeight="true" outlineLevel="0" collapsed="false">
      <c r="A30" s="17"/>
      <c r="B30" s="17"/>
      <c r="C30" s="17"/>
      <c r="D30" s="17"/>
      <c r="E30" s="17"/>
      <c r="F30" s="17"/>
      <c r="G30" s="17"/>
      <c r="H30" s="17"/>
      <c r="I30" s="24" t="s">
        <v>137</v>
      </c>
      <c r="J30" s="25"/>
      <c r="K30" s="25" t="n">
        <v>118.73</v>
      </c>
      <c r="L30" s="27" t="n">
        <v>20755.05</v>
      </c>
      <c r="M30" s="23"/>
      <c r="N30" s="23"/>
      <c r="O30" s="24" t="s">
        <v>268</v>
      </c>
      <c r="P30" s="25" t="n">
        <v>585</v>
      </c>
      <c r="Q30" s="25"/>
      <c r="R30" s="27" t="n">
        <v>13948.25</v>
      </c>
      <c r="S30" s="17"/>
      <c r="T30" s="23"/>
      <c r="U30" s="24" t="s">
        <v>202</v>
      </c>
      <c r="V30" s="25"/>
      <c r="W30" s="25" t="n">
        <v>160.47</v>
      </c>
      <c r="X30" s="27" t="n">
        <v>50047.55</v>
      </c>
      <c r="Y30" s="17"/>
      <c r="Z30" s="23"/>
      <c r="AA30" s="24" t="s">
        <v>81</v>
      </c>
      <c r="AB30" s="25"/>
      <c r="AC30" s="25" t="n">
        <v>1298</v>
      </c>
      <c r="AD30" s="27" t="n">
        <v>44579.91</v>
      </c>
      <c r="AE30" s="17"/>
      <c r="AF30" s="17"/>
      <c r="AG30" s="24" t="s">
        <v>269</v>
      </c>
      <c r="AH30" s="25"/>
      <c r="AI30" s="25" t="n">
        <v>69.98</v>
      </c>
      <c r="AJ30" s="39" t="n">
        <v>105504.73</v>
      </c>
      <c r="AK30" s="17"/>
      <c r="AL30" s="17"/>
      <c r="AM30" s="24" t="s">
        <v>36</v>
      </c>
      <c r="AN30" s="25"/>
      <c r="AO30" s="25" t="n">
        <v>9.96</v>
      </c>
      <c r="AP30" s="27" t="n">
        <v>81682.34</v>
      </c>
      <c r="AQ30" s="17"/>
      <c r="AR30" s="17"/>
      <c r="AS30" s="24" t="s">
        <v>36</v>
      </c>
      <c r="AT30" s="25"/>
      <c r="AU30" s="25" t="n">
        <v>9.96</v>
      </c>
      <c r="AV30" s="27" t="n">
        <v>75173.31</v>
      </c>
      <c r="AW30" s="17"/>
      <c r="AX30" s="17"/>
      <c r="AY30" s="24" t="s">
        <v>70</v>
      </c>
      <c r="AZ30" s="25" t="n">
        <v>1289.68</v>
      </c>
      <c r="BA30" s="25"/>
      <c r="BB30" s="27" t="n">
        <v>42007.23</v>
      </c>
      <c r="BC30" s="17"/>
      <c r="BD30" s="17"/>
      <c r="BE30" s="47" t="n">
        <v>5.12121000248442E+017</v>
      </c>
      <c r="BF30" s="30" t="n">
        <v>34436.31</v>
      </c>
      <c r="BG30" s="30" t="s">
        <v>151</v>
      </c>
      <c r="BH30" s="31" t="n">
        <v>72970.57</v>
      </c>
    </row>
    <row r="31" customFormat="false" ht="15.75" hidden="false" customHeight="true" outlineLevel="0" collapsed="false">
      <c r="A31" s="17"/>
      <c r="B31" s="17"/>
      <c r="C31" s="17"/>
      <c r="D31" s="17"/>
      <c r="E31" s="17"/>
      <c r="F31" s="17"/>
      <c r="G31" s="17"/>
      <c r="H31" s="17"/>
      <c r="I31" s="32" t="s">
        <v>270</v>
      </c>
      <c r="J31" s="34"/>
      <c r="K31" s="34" t="n">
        <v>37.75</v>
      </c>
      <c r="L31" s="27" t="n">
        <v>20717.3</v>
      </c>
      <c r="M31" s="23"/>
      <c r="N31" s="23"/>
      <c r="O31" s="32" t="s">
        <v>221</v>
      </c>
      <c r="P31" s="34"/>
      <c r="Q31" s="34" t="n">
        <v>61.78</v>
      </c>
      <c r="R31" s="27" t="n">
        <v>13886.47</v>
      </c>
      <c r="S31" s="17"/>
      <c r="T31" s="23"/>
      <c r="U31" s="32" t="s">
        <v>271</v>
      </c>
      <c r="V31" s="34"/>
      <c r="W31" s="34" t="n">
        <v>8</v>
      </c>
      <c r="X31" s="27" t="n">
        <v>50039.55</v>
      </c>
      <c r="Y31" s="17"/>
      <c r="Z31" s="23"/>
      <c r="AA31" s="32" t="s">
        <v>272</v>
      </c>
      <c r="AB31" s="34"/>
      <c r="AC31" s="34" t="n">
        <v>105.43</v>
      </c>
      <c r="AD31" s="27" t="n">
        <v>44474.48</v>
      </c>
      <c r="AE31" s="17"/>
      <c r="AF31" s="17"/>
      <c r="AG31" s="32" t="s">
        <v>94</v>
      </c>
      <c r="AH31" s="34"/>
      <c r="AI31" s="56" t="n">
        <v>435.87</v>
      </c>
      <c r="AJ31" s="39" t="n">
        <v>105068.86</v>
      </c>
      <c r="AK31" s="17"/>
      <c r="AL31" s="17"/>
      <c r="AM31" s="32" t="s">
        <v>55</v>
      </c>
      <c r="AN31" s="34"/>
      <c r="AO31" s="34" t="n">
        <v>149.63</v>
      </c>
      <c r="AP31" s="27" t="n">
        <v>81532.71</v>
      </c>
      <c r="AQ31" s="17"/>
      <c r="AR31" s="17"/>
      <c r="AS31" s="32" t="s">
        <v>83</v>
      </c>
      <c r="AT31" s="34" t="n">
        <v>1119.3</v>
      </c>
      <c r="AU31" s="34"/>
      <c r="AV31" s="27" t="n">
        <v>76292.61</v>
      </c>
      <c r="AW31" s="17"/>
      <c r="AX31" s="17"/>
      <c r="AY31" s="32" t="s">
        <v>104</v>
      </c>
      <c r="AZ31" s="34"/>
      <c r="BA31" s="34" t="n">
        <v>2579.35</v>
      </c>
      <c r="BB31" s="27" t="n">
        <v>39427.88</v>
      </c>
      <c r="BC31" s="17"/>
      <c r="BD31" s="17"/>
      <c r="BE31" s="46" t="s">
        <v>176</v>
      </c>
      <c r="BF31" s="37" t="s">
        <v>151</v>
      </c>
      <c r="BG31" s="37" t="n">
        <v>48</v>
      </c>
      <c r="BH31" s="31" t="n">
        <v>72922.57</v>
      </c>
    </row>
    <row r="32" customFormat="false" ht="15.75" hidden="false" customHeight="true" outlineLevel="0" collapsed="false">
      <c r="A32" s="17"/>
      <c r="B32" s="17"/>
      <c r="C32" s="17"/>
      <c r="D32" s="17"/>
      <c r="E32" s="17"/>
      <c r="F32" s="17"/>
      <c r="G32" s="17"/>
      <c r="H32" s="17"/>
      <c r="I32" s="24" t="s">
        <v>191</v>
      </c>
      <c r="J32" s="25"/>
      <c r="K32" s="25" t="n">
        <v>2558.4</v>
      </c>
      <c r="L32" s="27" t="n">
        <v>18158.9</v>
      </c>
      <c r="M32" s="23"/>
      <c r="N32" s="23"/>
      <c r="O32" s="24" t="s">
        <v>273</v>
      </c>
      <c r="P32" s="25" t="n">
        <v>1088.55</v>
      </c>
      <c r="Q32" s="25"/>
      <c r="R32" s="27" t="n">
        <v>14975.02</v>
      </c>
      <c r="S32" s="17"/>
      <c r="T32" s="23"/>
      <c r="U32" s="24" t="s">
        <v>271</v>
      </c>
      <c r="V32" s="25"/>
      <c r="W32" s="25" t="n">
        <v>12.6</v>
      </c>
      <c r="X32" s="27" t="n">
        <v>50026.95</v>
      </c>
      <c r="Y32" s="17"/>
      <c r="Z32" s="23"/>
      <c r="AA32" s="24" t="s">
        <v>81</v>
      </c>
      <c r="AB32" s="25"/>
      <c r="AC32" s="25" t="n">
        <v>1065.07</v>
      </c>
      <c r="AD32" s="27" t="n">
        <v>43409.41</v>
      </c>
      <c r="AE32" s="17"/>
      <c r="AF32" s="17"/>
      <c r="AG32" s="24" t="s">
        <v>62</v>
      </c>
      <c r="AH32" s="25"/>
      <c r="AI32" s="25" t="n">
        <v>189.93</v>
      </c>
      <c r="AJ32" s="39" t="n">
        <v>104878.93</v>
      </c>
      <c r="AK32" s="17"/>
      <c r="AL32" s="17"/>
      <c r="AM32" s="24" t="s">
        <v>56</v>
      </c>
      <c r="AN32" s="25"/>
      <c r="AO32" s="25" t="n">
        <v>157.8</v>
      </c>
      <c r="AP32" s="27" t="n">
        <v>81374.91</v>
      </c>
      <c r="AQ32" s="17"/>
      <c r="AR32" s="17"/>
      <c r="AS32" s="24" t="s">
        <v>84</v>
      </c>
      <c r="AT32" s="25"/>
      <c r="AU32" s="25" t="n">
        <v>2656.98</v>
      </c>
      <c r="AV32" s="27" t="n">
        <v>73635.63</v>
      </c>
      <c r="AW32" s="17"/>
      <c r="AX32" s="17"/>
      <c r="AY32" s="24" t="s">
        <v>42</v>
      </c>
      <c r="AZ32" s="25"/>
      <c r="BA32" s="25" t="n">
        <v>161.73</v>
      </c>
      <c r="BB32" s="27" t="n">
        <v>39266.15</v>
      </c>
      <c r="BC32" s="17"/>
      <c r="BD32" s="17"/>
      <c r="BE32" s="47" t="s">
        <v>134</v>
      </c>
      <c r="BF32" s="30" t="s">
        <v>151</v>
      </c>
      <c r="BG32" s="30" t="n">
        <v>396.68</v>
      </c>
      <c r="BH32" s="31" t="n">
        <v>72525.89</v>
      </c>
    </row>
    <row r="33" customFormat="false" ht="15.75" hidden="false" customHeight="true" outlineLevel="0" collapsed="false">
      <c r="A33" s="17"/>
      <c r="B33" s="17"/>
      <c r="C33" s="17"/>
      <c r="D33" s="17"/>
      <c r="E33" s="17"/>
      <c r="F33" s="17"/>
      <c r="G33" s="17"/>
      <c r="H33" s="17"/>
      <c r="I33" s="32" t="s">
        <v>274</v>
      </c>
      <c r="J33" s="34"/>
      <c r="K33" s="34" t="n">
        <v>1999.98</v>
      </c>
      <c r="L33" s="27" t="n">
        <v>16158.92</v>
      </c>
      <c r="M33" s="23"/>
      <c r="N33" s="23"/>
      <c r="O33" s="32" t="s">
        <v>166</v>
      </c>
      <c r="P33" s="34"/>
      <c r="Q33" s="34" t="n">
        <v>9.96</v>
      </c>
      <c r="R33" s="27" t="n">
        <v>14965.06</v>
      </c>
      <c r="S33" s="17"/>
      <c r="T33" s="23"/>
      <c r="U33" s="32" t="s">
        <v>275</v>
      </c>
      <c r="V33" s="57"/>
      <c r="W33" s="34" t="n">
        <v>435.09</v>
      </c>
      <c r="X33" s="27" t="n">
        <v>49591.86</v>
      </c>
      <c r="Y33" s="17"/>
      <c r="Z33" s="23"/>
      <c r="AA33" s="32" t="s">
        <v>276</v>
      </c>
      <c r="AB33" s="34"/>
      <c r="AC33" s="34" t="n">
        <v>246</v>
      </c>
      <c r="AD33" s="27" t="n">
        <v>43163.41</v>
      </c>
      <c r="AE33" s="17"/>
      <c r="AF33" s="17"/>
      <c r="AG33" s="32" t="s">
        <v>277</v>
      </c>
      <c r="AH33" s="34" t="n">
        <v>23597.55</v>
      </c>
      <c r="AI33" s="34"/>
      <c r="AJ33" s="39" t="n">
        <v>128476.48</v>
      </c>
      <c r="AK33" s="17"/>
      <c r="AL33" s="17"/>
      <c r="AM33" s="32" t="s">
        <v>57</v>
      </c>
      <c r="AN33" s="34"/>
      <c r="AO33" s="34" t="n">
        <v>7.32</v>
      </c>
      <c r="AP33" s="27" t="n">
        <v>81367.59</v>
      </c>
      <c r="AQ33" s="17"/>
      <c r="AR33" s="17"/>
      <c r="AS33" s="32" t="s">
        <v>278</v>
      </c>
      <c r="AT33" s="34"/>
      <c r="AU33" s="34" t="n">
        <v>20000</v>
      </c>
      <c r="AV33" s="27" t="n">
        <v>53635.63</v>
      </c>
      <c r="AW33" s="17"/>
      <c r="AX33" s="17"/>
      <c r="AY33" s="32" t="s">
        <v>279</v>
      </c>
      <c r="AZ33" s="34"/>
      <c r="BA33" s="34" t="n">
        <v>399.67</v>
      </c>
      <c r="BB33" s="27" t="n">
        <v>38866.48</v>
      </c>
      <c r="BC33" s="17"/>
      <c r="BD33" s="17"/>
      <c r="BE33" s="46" t="s">
        <v>139</v>
      </c>
      <c r="BF33" s="37" t="n">
        <v>187.54</v>
      </c>
      <c r="BG33" s="37" t="s">
        <v>151</v>
      </c>
      <c r="BH33" s="31" t="n">
        <v>72713.43</v>
      </c>
    </row>
    <row r="34" customFormat="false" ht="15.75" hidden="false" customHeight="true" outlineLevel="0" collapsed="false">
      <c r="A34" s="17"/>
      <c r="B34" s="17"/>
      <c r="C34" s="17"/>
      <c r="D34" s="17"/>
      <c r="E34" s="17"/>
      <c r="F34" s="17"/>
      <c r="G34" s="17"/>
      <c r="H34" s="17"/>
      <c r="I34" s="24" t="s">
        <v>280</v>
      </c>
      <c r="J34" s="25"/>
      <c r="K34" s="25" t="n">
        <v>1041.38</v>
      </c>
      <c r="L34" s="27" t="n">
        <v>15117.54</v>
      </c>
      <c r="M34" s="23"/>
      <c r="N34" s="23"/>
      <c r="O34" s="24" t="s">
        <v>137</v>
      </c>
      <c r="P34" s="25"/>
      <c r="Q34" s="25" t="n">
        <v>240.6</v>
      </c>
      <c r="R34" s="27" t="n">
        <v>14724.46</v>
      </c>
      <c r="S34" s="17"/>
      <c r="T34" s="23"/>
      <c r="U34" s="24" t="s">
        <v>275</v>
      </c>
      <c r="V34" s="58"/>
      <c r="W34" s="25" t="n">
        <v>7441</v>
      </c>
      <c r="X34" s="27" t="n">
        <v>42150.86</v>
      </c>
      <c r="Y34" s="17"/>
      <c r="Z34" s="23"/>
      <c r="AA34" s="24" t="s">
        <v>281</v>
      </c>
      <c r="AB34" s="25"/>
      <c r="AC34" s="25" t="n">
        <v>1186.08</v>
      </c>
      <c r="AD34" s="27" t="n">
        <v>41977.33</v>
      </c>
      <c r="AE34" s="17"/>
      <c r="AF34" s="17"/>
      <c r="AG34" s="24" t="s">
        <v>63</v>
      </c>
      <c r="AH34" s="25"/>
      <c r="AI34" s="25" t="n">
        <v>3767.02</v>
      </c>
      <c r="AJ34" s="39" t="n">
        <v>124709.46</v>
      </c>
      <c r="AK34" s="17"/>
      <c r="AL34" s="17"/>
      <c r="AM34" s="24" t="s">
        <v>57</v>
      </c>
      <c r="AN34" s="25"/>
      <c r="AO34" s="25" t="n">
        <v>88.79</v>
      </c>
      <c r="AP34" s="27" t="n">
        <v>81278.8</v>
      </c>
      <c r="AQ34" s="17"/>
      <c r="AR34" s="17"/>
      <c r="AS34" s="24" t="s">
        <v>278</v>
      </c>
      <c r="AT34" s="25"/>
      <c r="AU34" s="25" t="n">
        <v>16000</v>
      </c>
      <c r="AV34" s="27" t="n">
        <v>37635.63</v>
      </c>
      <c r="AW34" s="17"/>
      <c r="AX34" s="17"/>
      <c r="AY34" s="24" t="s">
        <v>62</v>
      </c>
      <c r="AZ34" s="25"/>
      <c r="BA34" s="25" t="n">
        <v>127.23</v>
      </c>
      <c r="BB34" s="27" t="n">
        <v>38739.25</v>
      </c>
      <c r="BC34" s="17"/>
      <c r="BD34" s="17"/>
      <c r="BE34" s="47" t="s">
        <v>139</v>
      </c>
      <c r="BF34" s="30" t="s">
        <v>151</v>
      </c>
      <c r="BG34" s="30" t="n">
        <v>357.81</v>
      </c>
      <c r="BH34" s="31" t="n">
        <v>72355.62</v>
      </c>
    </row>
    <row r="35" customFormat="false" ht="15.75" hidden="false" customHeight="true" outlineLevel="0" collapsed="false">
      <c r="A35" s="17"/>
      <c r="B35" s="17"/>
      <c r="C35" s="17"/>
      <c r="D35" s="17"/>
      <c r="E35" s="17"/>
      <c r="F35" s="17"/>
      <c r="G35" s="17"/>
      <c r="H35" s="17"/>
      <c r="I35" s="32" t="s">
        <v>137</v>
      </c>
      <c r="J35" s="34"/>
      <c r="K35" s="34" t="n">
        <v>469.16</v>
      </c>
      <c r="L35" s="27" t="n">
        <v>14648.38</v>
      </c>
      <c r="M35" s="23"/>
      <c r="N35" s="23"/>
      <c r="O35" s="41" t="s">
        <v>187</v>
      </c>
      <c r="P35" s="42" t="s">
        <v>151</v>
      </c>
      <c r="Q35" s="42" t="n">
        <v>28.32</v>
      </c>
      <c r="R35" s="44" t="n">
        <v>14696.14</v>
      </c>
      <c r="S35" s="17"/>
      <c r="T35" s="23"/>
      <c r="U35" s="32" t="s">
        <v>192</v>
      </c>
      <c r="V35" s="34"/>
      <c r="W35" s="34" t="n">
        <v>65.2</v>
      </c>
      <c r="X35" s="27" t="n">
        <v>42085.66</v>
      </c>
      <c r="Y35" s="17"/>
      <c r="Z35" s="23"/>
      <c r="AA35" s="32" t="s">
        <v>282</v>
      </c>
      <c r="AB35" s="34" t="n">
        <v>4182</v>
      </c>
      <c r="AC35" s="34"/>
      <c r="AD35" s="27" t="n">
        <v>46159.33</v>
      </c>
      <c r="AE35" s="17"/>
      <c r="AF35" s="17"/>
      <c r="AG35" s="32" t="s">
        <v>184</v>
      </c>
      <c r="AH35" s="34"/>
      <c r="AI35" s="34" t="n">
        <v>81.13</v>
      </c>
      <c r="AJ35" s="39" t="n">
        <v>124628.33</v>
      </c>
      <c r="AK35" s="17"/>
      <c r="AL35" s="17"/>
      <c r="AM35" s="32" t="s">
        <v>57</v>
      </c>
      <c r="AN35" s="34"/>
      <c r="AO35" s="34" t="n">
        <v>359.67</v>
      </c>
      <c r="AP35" s="27" t="n">
        <v>80919.13</v>
      </c>
      <c r="AQ35" s="17"/>
      <c r="AR35" s="17"/>
      <c r="AS35" s="32" t="s">
        <v>76</v>
      </c>
      <c r="AT35" s="34"/>
      <c r="AU35" s="34" t="n">
        <v>1600.27</v>
      </c>
      <c r="AV35" s="27" t="n">
        <v>36035.36</v>
      </c>
      <c r="AW35" s="17"/>
      <c r="AX35" s="17"/>
      <c r="AY35" s="32" t="s">
        <v>57</v>
      </c>
      <c r="AZ35" s="34"/>
      <c r="BA35" s="34" t="n">
        <v>7.32</v>
      </c>
      <c r="BB35" s="27" t="n">
        <v>38731.93</v>
      </c>
      <c r="BC35" s="17"/>
      <c r="BD35" s="17"/>
      <c r="BE35" s="46" t="s">
        <v>139</v>
      </c>
      <c r="BF35" s="37" t="s">
        <v>151</v>
      </c>
      <c r="BG35" s="37" t="n">
        <v>200</v>
      </c>
      <c r="BH35" s="31" t="n">
        <v>72155.62</v>
      </c>
    </row>
    <row r="36" customFormat="false" ht="15.75" hidden="false" customHeight="true" outlineLevel="0" collapsed="false">
      <c r="A36" s="17"/>
      <c r="B36" s="17"/>
      <c r="C36" s="17"/>
      <c r="D36" s="17"/>
      <c r="E36" s="17"/>
      <c r="F36" s="17"/>
      <c r="G36" s="17"/>
      <c r="H36" s="17"/>
      <c r="I36" s="24" t="s">
        <v>251</v>
      </c>
      <c r="J36" s="25"/>
      <c r="K36" s="25" t="n">
        <v>144.5</v>
      </c>
      <c r="L36" s="27" t="n">
        <v>14503.88</v>
      </c>
      <c r="M36" s="23"/>
      <c r="N36" s="45" t="s">
        <v>283</v>
      </c>
      <c r="O36" s="24" t="s">
        <v>284</v>
      </c>
      <c r="P36" s="25" t="n">
        <v>3271.8</v>
      </c>
      <c r="Q36" s="25"/>
      <c r="R36" s="27" t="n">
        <v>17967.94</v>
      </c>
      <c r="S36" s="17"/>
      <c r="T36" s="23"/>
      <c r="U36" s="24" t="s">
        <v>42</v>
      </c>
      <c r="V36" s="25"/>
      <c r="W36" s="25" t="n">
        <v>127.04</v>
      </c>
      <c r="X36" s="27" t="n">
        <v>41958.62</v>
      </c>
      <c r="Y36" s="17"/>
      <c r="Z36" s="23"/>
      <c r="AA36" s="24" t="s">
        <v>285</v>
      </c>
      <c r="AB36" s="25"/>
      <c r="AC36" s="25" t="n">
        <v>209.1</v>
      </c>
      <c r="AD36" s="27" t="n">
        <v>45950.23</v>
      </c>
      <c r="AE36" s="17"/>
      <c r="AF36" s="17"/>
      <c r="AG36" s="24" t="s">
        <v>286</v>
      </c>
      <c r="AH36" s="25"/>
      <c r="AI36" s="25" t="n">
        <v>322.36</v>
      </c>
      <c r="AJ36" s="39" t="n">
        <v>124305.97</v>
      </c>
      <c r="AK36" s="17"/>
      <c r="AL36" s="17"/>
      <c r="AM36" s="24" t="s">
        <v>57</v>
      </c>
      <c r="AN36" s="25"/>
      <c r="AO36" s="25" t="n">
        <v>221.79</v>
      </c>
      <c r="AP36" s="27" t="n">
        <v>80697.34</v>
      </c>
      <c r="AQ36" s="17"/>
      <c r="AR36" s="17"/>
      <c r="AS36" s="24" t="s">
        <v>233</v>
      </c>
      <c r="AT36" s="25"/>
      <c r="AU36" s="25" t="n">
        <v>183.33</v>
      </c>
      <c r="AV36" s="27" t="n">
        <v>35852.03</v>
      </c>
      <c r="AW36" s="17"/>
      <c r="AX36" s="17"/>
      <c r="AY36" s="24" t="s">
        <v>57</v>
      </c>
      <c r="AZ36" s="25"/>
      <c r="BA36" s="25" t="n">
        <v>14.46</v>
      </c>
      <c r="BB36" s="27" t="n">
        <v>38717.47</v>
      </c>
      <c r="BC36" s="17"/>
      <c r="BD36" s="17"/>
      <c r="BE36" s="47" t="s">
        <v>143</v>
      </c>
      <c r="BF36" s="30" t="s">
        <v>151</v>
      </c>
      <c r="BG36" s="30" t="n">
        <v>243.26</v>
      </c>
      <c r="BH36" s="31" t="n">
        <v>71912.36</v>
      </c>
    </row>
    <row r="37" customFormat="false" ht="15.75" hidden="false" customHeight="true" outlineLevel="0" collapsed="false">
      <c r="A37" s="17"/>
      <c r="B37" s="17"/>
      <c r="C37" s="17"/>
      <c r="D37" s="17"/>
      <c r="E37" s="17"/>
      <c r="F37" s="17"/>
      <c r="G37" s="17"/>
      <c r="H37" s="17"/>
      <c r="I37" s="32" t="s">
        <v>181</v>
      </c>
      <c r="J37" s="34"/>
      <c r="K37" s="34" t="n">
        <v>16.16</v>
      </c>
      <c r="L37" s="27" t="n">
        <v>14487.72</v>
      </c>
      <c r="M37" s="23"/>
      <c r="N37" s="23"/>
      <c r="O37" s="32" t="s">
        <v>137</v>
      </c>
      <c r="P37" s="34"/>
      <c r="Q37" s="34" t="n">
        <v>303.79</v>
      </c>
      <c r="R37" s="27" t="n">
        <v>17664.15</v>
      </c>
      <c r="S37" s="17"/>
      <c r="T37" s="23"/>
      <c r="U37" s="32" t="s">
        <v>42</v>
      </c>
      <c r="V37" s="34"/>
      <c r="W37" s="34" t="n">
        <v>29.17</v>
      </c>
      <c r="X37" s="27" t="n">
        <v>41929.45</v>
      </c>
      <c r="Y37" s="17"/>
      <c r="Z37" s="23"/>
      <c r="AA37" s="32" t="s">
        <v>272</v>
      </c>
      <c r="AB37" s="34"/>
      <c r="AC37" s="34" t="n">
        <v>6.5</v>
      </c>
      <c r="AD37" s="27" t="n">
        <v>45943.73</v>
      </c>
      <c r="AE37" s="17"/>
      <c r="AF37" s="17"/>
      <c r="AG37" s="32" t="s">
        <v>184</v>
      </c>
      <c r="AH37" s="34"/>
      <c r="AI37" s="34" t="n">
        <v>313.23</v>
      </c>
      <c r="AJ37" s="39" t="n">
        <v>123992.74</v>
      </c>
      <c r="AK37" s="17"/>
      <c r="AL37" s="17"/>
      <c r="AM37" s="32" t="s">
        <v>58</v>
      </c>
      <c r="AN37" s="34"/>
      <c r="AO37" s="34" t="n">
        <v>72.57</v>
      </c>
      <c r="AP37" s="27" t="n">
        <v>80624.77</v>
      </c>
      <c r="AQ37" s="17"/>
      <c r="AR37" s="17"/>
      <c r="AS37" s="32" t="s">
        <v>39</v>
      </c>
      <c r="AT37" s="34"/>
      <c r="AU37" s="34" t="n">
        <v>246</v>
      </c>
      <c r="AV37" s="27" t="n">
        <v>35606.03</v>
      </c>
      <c r="AW37" s="17"/>
      <c r="AX37" s="17"/>
      <c r="AY37" s="32" t="s">
        <v>57</v>
      </c>
      <c r="AZ37" s="34"/>
      <c r="BA37" s="34" t="n">
        <v>111.39</v>
      </c>
      <c r="BB37" s="27" t="n">
        <v>38606.08</v>
      </c>
      <c r="BC37" s="17"/>
      <c r="BD37" s="17"/>
      <c r="BE37" s="46" t="s">
        <v>132</v>
      </c>
      <c r="BF37" s="37" t="s">
        <v>151</v>
      </c>
      <c r="BG37" s="37" t="n">
        <v>186.83</v>
      </c>
      <c r="BH37" s="31" t="n">
        <v>71725.53</v>
      </c>
    </row>
    <row r="38" customFormat="false" ht="15.75" hidden="false" customHeight="true" outlineLevel="0" collapsed="false">
      <c r="A38" s="17"/>
      <c r="B38" s="17"/>
      <c r="C38" s="17"/>
      <c r="D38" s="17"/>
      <c r="E38" s="17"/>
      <c r="F38" s="17"/>
      <c r="G38" s="17"/>
      <c r="H38" s="17"/>
      <c r="I38" s="24" t="s">
        <v>287</v>
      </c>
      <c r="J38" s="25"/>
      <c r="K38" s="25" t="n">
        <v>136.65</v>
      </c>
      <c r="L38" s="27" t="n">
        <v>14351.07</v>
      </c>
      <c r="M38" s="23"/>
      <c r="N38" s="23"/>
      <c r="O38" s="24" t="s">
        <v>288</v>
      </c>
      <c r="P38" s="25" t="n">
        <v>462.48</v>
      </c>
      <c r="Q38" s="25"/>
      <c r="R38" s="27" t="n">
        <v>18126.63</v>
      </c>
      <c r="S38" s="17"/>
      <c r="T38" s="23"/>
      <c r="U38" s="24" t="s">
        <v>43</v>
      </c>
      <c r="V38" s="25"/>
      <c r="W38" s="25" t="n">
        <v>858.7</v>
      </c>
      <c r="X38" s="27" t="n">
        <v>41070.75</v>
      </c>
      <c r="Y38" s="17"/>
      <c r="Z38" s="23"/>
      <c r="AA38" s="24" t="s">
        <v>272</v>
      </c>
      <c r="AB38" s="25"/>
      <c r="AC38" s="25" t="n">
        <v>6.5</v>
      </c>
      <c r="AD38" s="27" t="n">
        <v>45937.23</v>
      </c>
      <c r="AE38" s="17"/>
      <c r="AF38" s="17"/>
      <c r="AG38" s="24" t="s">
        <v>259</v>
      </c>
      <c r="AH38" s="25"/>
      <c r="AI38" s="25" t="n">
        <v>17949.7</v>
      </c>
      <c r="AJ38" s="39" t="n">
        <v>106043.04</v>
      </c>
      <c r="AK38" s="17"/>
      <c r="AL38" s="17"/>
      <c r="AM38" s="24" t="s">
        <v>39</v>
      </c>
      <c r="AN38" s="25"/>
      <c r="AO38" s="25" t="n">
        <v>246</v>
      </c>
      <c r="AP38" s="27" t="n">
        <v>80378.77</v>
      </c>
      <c r="AQ38" s="17"/>
      <c r="AR38" s="17"/>
      <c r="AS38" s="24" t="s">
        <v>77</v>
      </c>
      <c r="AT38" s="25"/>
      <c r="AU38" s="25" t="n">
        <v>2546.36</v>
      </c>
      <c r="AV38" s="27" t="n">
        <v>33059.67</v>
      </c>
      <c r="AW38" s="17"/>
      <c r="AX38" s="17"/>
      <c r="AY38" s="24" t="s">
        <v>39</v>
      </c>
      <c r="AZ38" s="25"/>
      <c r="BA38" s="25" t="n">
        <v>246</v>
      </c>
      <c r="BB38" s="27" t="n">
        <v>38360.08</v>
      </c>
      <c r="BC38" s="17"/>
      <c r="BD38" s="17"/>
      <c r="BE38" s="59" t="s">
        <v>144</v>
      </c>
      <c r="BF38" s="60" t="s">
        <v>151</v>
      </c>
      <c r="BG38" s="60" t="n">
        <v>1</v>
      </c>
      <c r="BH38" s="31" t="n">
        <v>71724.53</v>
      </c>
    </row>
    <row r="39" customFormat="false" ht="15.75" hidden="false" customHeight="true" outlineLevel="0" collapsed="false">
      <c r="A39" s="17"/>
      <c r="B39" s="17"/>
      <c r="C39" s="17"/>
      <c r="D39" s="17"/>
      <c r="E39" s="17"/>
      <c r="F39" s="17"/>
      <c r="G39" s="17"/>
      <c r="H39" s="17"/>
      <c r="I39" s="32" t="s">
        <v>289</v>
      </c>
      <c r="J39" s="34" t="n">
        <v>9015.9</v>
      </c>
      <c r="K39" s="34"/>
      <c r="L39" s="27" t="n">
        <v>23366.97</v>
      </c>
      <c r="M39" s="23"/>
      <c r="N39" s="23"/>
      <c r="O39" s="32" t="s">
        <v>216</v>
      </c>
      <c r="P39" s="34"/>
      <c r="Q39" s="34" t="n">
        <v>110.29</v>
      </c>
      <c r="R39" s="27" t="n">
        <v>18016.34</v>
      </c>
      <c r="S39" s="17"/>
      <c r="T39" s="23"/>
      <c r="U39" s="41" t="s">
        <v>272</v>
      </c>
      <c r="V39" s="42" t="s">
        <v>151</v>
      </c>
      <c r="W39" s="42" t="n">
        <v>105.74</v>
      </c>
      <c r="X39" s="44" t="n">
        <v>40965.01</v>
      </c>
      <c r="Y39" s="17"/>
      <c r="Z39" s="23"/>
      <c r="AA39" s="41" t="s">
        <v>218</v>
      </c>
      <c r="AB39" s="42" t="s">
        <v>151</v>
      </c>
      <c r="AC39" s="42" t="n">
        <v>3526.07</v>
      </c>
      <c r="AD39" s="44" t="n">
        <v>42411.16</v>
      </c>
      <c r="AE39" s="17"/>
      <c r="AF39" s="17"/>
      <c r="AG39" s="32" t="s">
        <v>239</v>
      </c>
      <c r="AH39" s="34"/>
      <c r="AI39" s="56" t="n">
        <v>1121.06</v>
      </c>
      <c r="AJ39" s="39" t="n">
        <v>104921.98</v>
      </c>
      <c r="AK39" s="17"/>
      <c r="AL39" s="17"/>
      <c r="AM39" s="32" t="s">
        <v>59</v>
      </c>
      <c r="AN39" s="34"/>
      <c r="AO39" s="34" t="n">
        <v>1924.95</v>
      </c>
      <c r="AP39" s="27" t="n">
        <v>78453.82</v>
      </c>
      <c r="AQ39" s="17"/>
      <c r="AR39" s="17"/>
      <c r="AS39" s="32" t="s">
        <v>86</v>
      </c>
      <c r="AT39" s="34"/>
      <c r="AU39" s="34" t="n">
        <v>6150</v>
      </c>
      <c r="AV39" s="27" t="n">
        <v>26909.67</v>
      </c>
      <c r="AW39" s="17"/>
      <c r="AX39" s="17"/>
      <c r="AY39" s="32" t="s">
        <v>106</v>
      </c>
      <c r="AZ39" s="34"/>
      <c r="BA39" s="34" t="n">
        <v>1890</v>
      </c>
      <c r="BB39" s="27" t="n">
        <v>36470.08</v>
      </c>
      <c r="BC39" s="17"/>
      <c r="BD39" s="17"/>
      <c r="BE39" s="61" t="s">
        <v>290</v>
      </c>
      <c r="BF39" s="62" t="s">
        <v>151</v>
      </c>
      <c r="BG39" s="62" t="n">
        <v>84.49</v>
      </c>
      <c r="BH39" s="31" t="n">
        <v>71640.04</v>
      </c>
    </row>
    <row r="40" customFormat="false" ht="15.75" hidden="false" customHeight="true" outlineLevel="0" collapsed="false">
      <c r="A40" s="17"/>
      <c r="B40" s="17"/>
      <c r="C40" s="17"/>
      <c r="D40" s="17"/>
      <c r="E40" s="17"/>
      <c r="F40" s="17"/>
      <c r="G40" s="17"/>
      <c r="H40" s="17"/>
      <c r="I40" s="24" t="s">
        <v>249</v>
      </c>
      <c r="J40" s="25"/>
      <c r="K40" s="25" t="n">
        <v>65.63</v>
      </c>
      <c r="L40" s="27" t="n">
        <v>23301.34</v>
      </c>
      <c r="M40" s="23"/>
      <c r="N40" s="23"/>
      <c r="O40" s="24" t="s">
        <v>291</v>
      </c>
      <c r="P40" s="25"/>
      <c r="Q40" s="25" t="n">
        <v>93.43</v>
      </c>
      <c r="R40" s="27" t="n">
        <v>17922.91</v>
      </c>
      <c r="S40" s="17"/>
      <c r="T40" s="45" t="s">
        <v>292</v>
      </c>
      <c r="U40" s="24" t="s">
        <v>175</v>
      </c>
      <c r="V40" s="25" t="n">
        <v>7739.9</v>
      </c>
      <c r="W40" s="25"/>
      <c r="X40" s="27" t="n">
        <v>48704.91</v>
      </c>
      <c r="Y40" s="17"/>
      <c r="Z40" s="45" t="s">
        <v>293</v>
      </c>
      <c r="AA40" s="24" t="s">
        <v>294</v>
      </c>
      <c r="AB40" s="25" t="n">
        <v>20731.65</v>
      </c>
      <c r="AC40" s="25"/>
      <c r="AD40" s="27" t="n">
        <v>63142.81</v>
      </c>
      <c r="AE40" s="17"/>
      <c r="AF40" s="17"/>
      <c r="AG40" s="63" t="s">
        <v>151</v>
      </c>
      <c r="AH40" s="64" t="n">
        <v>78163.31</v>
      </c>
      <c r="AI40" s="65" t="n">
        <v>48578.92</v>
      </c>
      <c r="AJ40" s="66" t="n">
        <v>0</v>
      </c>
      <c r="AK40" s="17"/>
      <c r="AL40" s="17"/>
      <c r="AM40" s="24" t="s">
        <v>60</v>
      </c>
      <c r="AN40" s="25"/>
      <c r="AO40" s="25" t="n">
        <v>81.52</v>
      </c>
      <c r="AP40" s="27" t="n">
        <v>78372.3</v>
      </c>
      <c r="AQ40" s="17"/>
      <c r="AR40" s="17"/>
      <c r="AS40" s="24" t="s">
        <v>62</v>
      </c>
      <c r="AT40" s="25"/>
      <c r="AU40" s="25" t="n">
        <v>108.43</v>
      </c>
      <c r="AV40" s="27" t="n">
        <v>26801.24</v>
      </c>
      <c r="AW40" s="17"/>
      <c r="AX40" s="17"/>
      <c r="AY40" s="24" t="s">
        <v>74</v>
      </c>
      <c r="AZ40" s="25"/>
      <c r="BA40" s="25" t="n">
        <v>310.91</v>
      </c>
      <c r="BB40" s="27" t="n">
        <v>36159.17</v>
      </c>
      <c r="BC40" s="17"/>
      <c r="BD40" s="17"/>
      <c r="BE40" s="59" t="s">
        <v>139</v>
      </c>
      <c r="BF40" s="60" t="s">
        <v>151</v>
      </c>
      <c r="BG40" s="60" t="n">
        <v>174</v>
      </c>
      <c r="BH40" s="31" t="n">
        <v>71466.04</v>
      </c>
    </row>
    <row r="41" customFormat="false" ht="15.75" hidden="false" customHeight="true" outlineLevel="0" collapsed="false">
      <c r="A41" s="17"/>
      <c r="B41" s="17"/>
      <c r="C41" s="17"/>
      <c r="D41" s="17"/>
      <c r="E41" s="17"/>
      <c r="F41" s="17"/>
      <c r="G41" s="17"/>
      <c r="H41" s="17"/>
      <c r="I41" s="32" t="s">
        <v>280</v>
      </c>
      <c r="J41" s="34"/>
      <c r="K41" s="34" t="n">
        <v>79.92</v>
      </c>
      <c r="L41" s="27" t="n">
        <v>23221.42</v>
      </c>
      <c r="M41" s="23"/>
      <c r="N41" s="23"/>
      <c r="O41" s="32" t="s">
        <v>137</v>
      </c>
      <c r="P41" s="34"/>
      <c r="Q41" s="34" t="n">
        <v>602.76</v>
      </c>
      <c r="R41" s="27" t="n">
        <v>17320.15</v>
      </c>
      <c r="S41" s="17"/>
      <c r="T41" s="23"/>
      <c r="U41" s="32" t="s">
        <v>169</v>
      </c>
      <c r="V41" s="34"/>
      <c r="W41" s="34" t="n">
        <v>9.96</v>
      </c>
      <c r="X41" s="27" t="n">
        <v>48694.95</v>
      </c>
      <c r="Y41" s="17"/>
      <c r="Z41" s="23"/>
      <c r="AA41" s="32" t="s">
        <v>169</v>
      </c>
      <c r="AB41" s="34"/>
      <c r="AC41" s="34" t="n">
        <v>9.96</v>
      </c>
      <c r="AD41" s="27" t="n">
        <v>63132.85</v>
      </c>
      <c r="AE41" s="17"/>
      <c r="AF41" s="17"/>
      <c r="AG41" s="17"/>
      <c r="AH41" s="17"/>
      <c r="AI41" s="17"/>
      <c r="AJ41" s="17"/>
      <c r="AK41" s="17"/>
      <c r="AL41" s="17"/>
      <c r="AM41" s="32" t="s">
        <v>61</v>
      </c>
      <c r="AN41" s="34"/>
      <c r="AO41" s="34" t="n">
        <v>51</v>
      </c>
      <c r="AP41" s="27" t="n">
        <v>78321.3</v>
      </c>
      <c r="AQ41" s="17"/>
      <c r="AR41" s="17"/>
      <c r="AS41" s="32" t="s">
        <v>87</v>
      </c>
      <c r="AT41" s="34"/>
      <c r="AU41" s="34" t="n">
        <v>1650</v>
      </c>
      <c r="AV41" s="27" t="n">
        <v>25151.24</v>
      </c>
      <c r="AW41" s="17"/>
      <c r="AX41" s="17"/>
      <c r="AY41" s="32" t="s">
        <v>107</v>
      </c>
      <c r="AZ41" s="34" t="n">
        <v>1929.5</v>
      </c>
      <c r="BA41" s="34"/>
      <c r="BB41" s="27" t="n">
        <v>38088.67</v>
      </c>
      <c r="BC41" s="17"/>
      <c r="BD41" s="17"/>
      <c r="BE41" s="61" t="s">
        <v>295</v>
      </c>
      <c r="BF41" s="62" t="s">
        <v>151</v>
      </c>
      <c r="BG41" s="62" t="n">
        <v>36.12</v>
      </c>
      <c r="BH41" s="31" t="n">
        <v>71429.92</v>
      </c>
    </row>
    <row r="42" customFormat="false" ht="15.75" hidden="false" customHeight="true" outlineLevel="0" collapsed="false">
      <c r="A42" s="17"/>
      <c r="B42" s="17"/>
      <c r="C42" s="17"/>
      <c r="D42" s="17"/>
      <c r="E42" s="17"/>
      <c r="F42" s="17"/>
      <c r="G42" s="17"/>
      <c r="H42" s="17"/>
      <c r="I42" s="24" t="s">
        <v>212</v>
      </c>
      <c r="J42" s="25"/>
      <c r="K42" s="25" t="n">
        <v>215.25</v>
      </c>
      <c r="L42" s="27" t="n">
        <v>23006.17</v>
      </c>
      <c r="M42" s="23"/>
      <c r="N42" s="23"/>
      <c r="O42" s="24" t="s">
        <v>224</v>
      </c>
      <c r="P42" s="25"/>
      <c r="Q42" s="25" t="n">
        <v>9840</v>
      </c>
      <c r="R42" s="27" t="n">
        <v>7480.15</v>
      </c>
      <c r="S42" s="17"/>
      <c r="T42" s="23"/>
      <c r="U42" s="24" t="s">
        <v>272</v>
      </c>
      <c r="V42" s="25"/>
      <c r="W42" s="25" t="n">
        <v>6.5</v>
      </c>
      <c r="X42" s="27" t="n">
        <v>48688.45</v>
      </c>
      <c r="Y42" s="17"/>
      <c r="Z42" s="23"/>
      <c r="AA42" s="24" t="s">
        <v>296</v>
      </c>
      <c r="AB42" s="25" t="n">
        <v>18646.8</v>
      </c>
      <c r="AC42" s="25"/>
      <c r="AD42" s="27" t="n">
        <v>81779.65</v>
      </c>
      <c r="AE42" s="17"/>
      <c r="AF42" s="17"/>
      <c r="AG42" s="17"/>
      <c r="AH42" s="17"/>
      <c r="AI42" s="17"/>
      <c r="AJ42" s="17"/>
      <c r="AK42" s="17"/>
      <c r="AL42" s="17"/>
      <c r="AM42" s="24" t="s">
        <v>62</v>
      </c>
      <c r="AN42" s="25"/>
      <c r="AO42" s="25" t="n">
        <v>155.43</v>
      </c>
      <c r="AP42" s="27" t="n">
        <v>78165.87</v>
      </c>
      <c r="AQ42" s="17"/>
      <c r="AR42" s="17"/>
      <c r="AS42" s="24" t="s">
        <v>84</v>
      </c>
      <c r="AT42" s="25"/>
      <c r="AU42" s="25" t="n">
        <v>2919.06</v>
      </c>
      <c r="AV42" s="27" t="n">
        <v>22232.18</v>
      </c>
      <c r="AW42" s="17"/>
      <c r="AX42" s="17"/>
      <c r="AY42" s="24" t="s">
        <v>108</v>
      </c>
      <c r="AZ42" s="25"/>
      <c r="BA42" s="25" t="n">
        <v>159.98</v>
      </c>
      <c r="BB42" s="27" t="n">
        <v>37928.69</v>
      </c>
      <c r="BC42" s="17"/>
      <c r="BD42" s="17"/>
      <c r="BE42" s="59" t="s">
        <v>146</v>
      </c>
      <c r="BF42" s="60" t="s">
        <v>151</v>
      </c>
      <c r="BG42" s="60" t="n">
        <v>223.9</v>
      </c>
      <c r="BH42" s="31" t="n">
        <v>71206.02</v>
      </c>
    </row>
    <row r="43" customFormat="false" ht="15.75" hidden="false" customHeight="true" outlineLevel="0" collapsed="false">
      <c r="A43" s="17"/>
      <c r="B43" s="17"/>
      <c r="C43" s="17"/>
      <c r="D43" s="17"/>
      <c r="E43" s="17"/>
      <c r="F43" s="17"/>
      <c r="G43" s="17"/>
      <c r="H43" s="17"/>
      <c r="I43" s="32" t="s">
        <v>297</v>
      </c>
      <c r="J43" s="34"/>
      <c r="K43" s="34" t="n">
        <v>1083.63</v>
      </c>
      <c r="L43" s="27" t="n">
        <v>21922.54</v>
      </c>
      <c r="M43" s="23"/>
      <c r="N43" s="23"/>
      <c r="O43" s="32" t="s">
        <v>140</v>
      </c>
      <c r="P43" s="34"/>
      <c r="Q43" s="34" t="n">
        <v>371.51</v>
      </c>
      <c r="R43" s="27" t="n">
        <v>7108.64</v>
      </c>
      <c r="S43" s="17"/>
      <c r="T43" s="23"/>
      <c r="U43" s="32" t="s">
        <v>272</v>
      </c>
      <c r="V43" s="34"/>
      <c r="W43" s="34" t="n">
        <v>6.5</v>
      </c>
      <c r="X43" s="27" t="n">
        <v>48681.95</v>
      </c>
      <c r="Y43" s="17"/>
      <c r="Z43" s="23"/>
      <c r="AA43" s="32" t="s">
        <v>198</v>
      </c>
      <c r="AB43" s="34"/>
      <c r="AC43" s="34" t="n">
        <v>3816</v>
      </c>
      <c r="AD43" s="27" t="n">
        <v>77963.65</v>
      </c>
      <c r="AE43" s="17"/>
      <c r="AF43" s="17"/>
      <c r="AG43" s="17"/>
      <c r="AH43" s="17"/>
      <c r="AI43" s="17"/>
      <c r="AJ43" s="17"/>
      <c r="AK43" s="17"/>
      <c r="AL43" s="17"/>
      <c r="AM43" s="32" t="s">
        <v>63</v>
      </c>
      <c r="AN43" s="34"/>
      <c r="AO43" s="34" t="n">
        <v>1600.28</v>
      </c>
      <c r="AP43" s="27" t="n">
        <v>76565.59</v>
      </c>
      <c r="AQ43" s="17"/>
      <c r="AR43" s="17"/>
      <c r="AS43" s="32" t="s">
        <v>88</v>
      </c>
      <c r="AT43" s="34"/>
      <c r="AU43" s="34" t="n">
        <v>1250</v>
      </c>
      <c r="AV43" s="27" t="n">
        <v>20982.18</v>
      </c>
      <c r="AW43" s="17"/>
      <c r="AX43" s="17"/>
      <c r="AY43" s="32" t="s">
        <v>109</v>
      </c>
      <c r="AZ43" s="34"/>
      <c r="BA43" s="34" t="n">
        <v>147.94</v>
      </c>
      <c r="BB43" s="27" t="n">
        <v>37780.75</v>
      </c>
      <c r="BC43" s="17"/>
      <c r="BD43" s="17"/>
      <c r="BE43" s="61" t="s">
        <v>147</v>
      </c>
      <c r="BF43" s="62" t="n">
        <v>1045.5</v>
      </c>
      <c r="BG43" s="62" t="s">
        <v>151</v>
      </c>
      <c r="BH43" s="31" t="n">
        <v>72251.52</v>
      </c>
    </row>
    <row r="44" customFormat="false" ht="15.75" hidden="false" customHeight="true" outlineLevel="0" collapsed="false">
      <c r="A44" s="17"/>
      <c r="B44" s="17"/>
      <c r="C44" s="17"/>
      <c r="D44" s="17"/>
      <c r="E44" s="17"/>
      <c r="F44" s="17"/>
      <c r="G44" s="17"/>
      <c r="H44" s="17"/>
      <c r="I44" s="24" t="s">
        <v>280</v>
      </c>
      <c r="J44" s="25"/>
      <c r="K44" s="25" t="n">
        <v>99.79</v>
      </c>
      <c r="L44" s="27" t="n">
        <v>21822.75</v>
      </c>
      <c r="M44" s="23"/>
      <c r="N44" s="17"/>
      <c r="O44" s="24" t="s">
        <v>298</v>
      </c>
      <c r="P44" s="25"/>
      <c r="Q44" s="25" t="n">
        <v>40.8</v>
      </c>
      <c r="R44" s="27" t="n">
        <v>7067.84</v>
      </c>
      <c r="S44" s="17"/>
      <c r="T44" s="17"/>
      <c r="U44" s="24" t="s">
        <v>299</v>
      </c>
      <c r="V44" s="25"/>
      <c r="W44" s="25" t="n">
        <v>21.61</v>
      </c>
      <c r="X44" s="27" t="n">
        <v>48660.34</v>
      </c>
      <c r="Y44" s="17"/>
      <c r="Z44" s="17"/>
      <c r="AA44" s="24" t="s">
        <v>218</v>
      </c>
      <c r="AB44" s="25"/>
      <c r="AC44" s="25" t="n">
        <v>307.5</v>
      </c>
      <c r="AD44" s="27" t="n">
        <v>77656.15</v>
      </c>
      <c r="AE44" s="17"/>
      <c r="AF44" s="17"/>
      <c r="AG44" s="17"/>
      <c r="AH44" s="17"/>
      <c r="AI44" s="17"/>
      <c r="AJ44" s="17"/>
      <c r="AK44" s="17"/>
      <c r="AL44" s="17"/>
      <c r="AM44" s="24" t="s">
        <v>64</v>
      </c>
      <c r="AN44" s="25"/>
      <c r="AO44" s="25" t="n">
        <v>731.85</v>
      </c>
      <c r="AP44" s="27" t="n">
        <v>75833.74</v>
      </c>
      <c r="AQ44" s="17"/>
      <c r="AR44" s="17"/>
      <c r="AS44" s="24" t="s">
        <v>89</v>
      </c>
      <c r="AT44" s="25"/>
      <c r="AU44" s="25" t="n">
        <v>1250</v>
      </c>
      <c r="AV44" s="27" t="n">
        <v>19732.18</v>
      </c>
      <c r="AW44" s="17"/>
      <c r="AX44" s="17"/>
      <c r="AY44" s="24" t="s">
        <v>42</v>
      </c>
      <c r="AZ44" s="25"/>
      <c r="BA44" s="25" t="n">
        <v>54.44</v>
      </c>
      <c r="BB44" s="27" t="n">
        <v>37726.31</v>
      </c>
      <c r="BC44" s="17"/>
      <c r="BD44" s="17"/>
      <c r="BE44" s="59" t="s">
        <v>135</v>
      </c>
      <c r="BF44" s="60" t="s">
        <v>151</v>
      </c>
      <c r="BG44" s="60" t="n">
        <v>642.34</v>
      </c>
      <c r="BH44" s="31" t="n">
        <v>71609.18</v>
      </c>
    </row>
    <row r="45" customFormat="false" ht="15.75" hidden="false" customHeight="true" outlineLevel="0" collapsed="false">
      <c r="A45" s="17"/>
      <c r="B45" s="17"/>
      <c r="C45" s="17"/>
      <c r="D45" s="17"/>
      <c r="E45" s="17"/>
      <c r="F45" s="17"/>
      <c r="G45" s="17"/>
      <c r="H45" s="17"/>
      <c r="I45" s="32" t="s">
        <v>137</v>
      </c>
      <c r="J45" s="34"/>
      <c r="K45" s="34" t="n">
        <v>7.32</v>
      </c>
      <c r="L45" s="27" t="n">
        <v>21815.43</v>
      </c>
      <c r="M45" s="23"/>
      <c r="N45" s="23"/>
      <c r="O45" s="32" t="s">
        <v>137</v>
      </c>
      <c r="P45" s="34"/>
      <c r="Q45" s="34" t="n">
        <v>7.32</v>
      </c>
      <c r="R45" s="27" t="n">
        <v>7060.52</v>
      </c>
      <c r="S45" s="17"/>
      <c r="T45" s="23"/>
      <c r="U45" s="32" t="s">
        <v>218</v>
      </c>
      <c r="V45" s="34"/>
      <c r="W45" s="34" t="n">
        <v>2357.9</v>
      </c>
      <c r="X45" s="27" t="n">
        <v>46302.44</v>
      </c>
      <c r="Y45" s="17"/>
      <c r="Z45" s="23"/>
      <c r="AA45" s="32" t="s">
        <v>62</v>
      </c>
      <c r="AB45" s="34"/>
      <c r="AC45" s="34" t="n">
        <v>39.2</v>
      </c>
      <c r="AD45" s="27" t="n">
        <v>77616.95</v>
      </c>
      <c r="AE45" s="17"/>
      <c r="AF45" s="17"/>
      <c r="AG45" s="17"/>
      <c r="AH45" s="17"/>
      <c r="AI45" s="17"/>
      <c r="AJ45" s="17"/>
      <c r="AK45" s="17"/>
      <c r="AL45" s="17"/>
      <c r="AM45" s="32" t="s">
        <v>65</v>
      </c>
      <c r="AN45" s="34"/>
      <c r="AO45" s="34" t="n">
        <v>2546.35</v>
      </c>
      <c r="AP45" s="27" t="n">
        <v>73287.39</v>
      </c>
      <c r="AQ45" s="17"/>
      <c r="AR45" s="17"/>
      <c r="AS45" s="32" t="s">
        <v>90</v>
      </c>
      <c r="AT45" s="34"/>
      <c r="AU45" s="34" t="n">
        <v>117.98</v>
      </c>
      <c r="AV45" s="27" t="n">
        <v>19614.2</v>
      </c>
      <c r="AW45" s="17"/>
      <c r="AX45" s="17"/>
      <c r="AY45" s="32" t="s">
        <v>110</v>
      </c>
      <c r="AZ45" s="34"/>
      <c r="BA45" s="34" t="n">
        <v>118.65</v>
      </c>
      <c r="BB45" s="27" t="n">
        <v>37607.66</v>
      </c>
      <c r="BC45" s="17"/>
      <c r="BD45" s="17"/>
      <c r="BE45" s="46" t="s">
        <v>151</v>
      </c>
      <c r="BF45" s="37" t="s">
        <v>151</v>
      </c>
      <c r="BG45" s="37" t="n">
        <v>1250</v>
      </c>
      <c r="BH45" s="31" t="n">
        <v>70359.18</v>
      </c>
    </row>
    <row r="46" customFormat="false" ht="15.75" hidden="false" customHeight="true" outlineLevel="0" collapsed="false">
      <c r="A46" s="17"/>
      <c r="B46" s="17"/>
      <c r="C46" s="17"/>
      <c r="D46" s="17"/>
      <c r="E46" s="17"/>
      <c r="F46" s="17"/>
      <c r="G46" s="17"/>
      <c r="H46" s="17"/>
      <c r="I46" s="24" t="s">
        <v>137</v>
      </c>
      <c r="J46" s="25"/>
      <c r="K46" s="25" t="n">
        <v>8</v>
      </c>
      <c r="L46" s="27" t="n">
        <v>21807.43</v>
      </c>
      <c r="M46" s="23"/>
      <c r="N46" s="23"/>
      <c r="O46" s="24" t="s">
        <v>137</v>
      </c>
      <c r="P46" s="25"/>
      <c r="Q46" s="25" t="n">
        <v>274.71</v>
      </c>
      <c r="R46" s="27" t="n">
        <v>6785.81</v>
      </c>
      <c r="S46" s="17"/>
      <c r="T46" s="23"/>
      <c r="U46" s="24" t="s">
        <v>300</v>
      </c>
      <c r="V46" s="25"/>
      <c r="W46" s="25" t="n">
        <v>246</v>
      </c>
      <c r="X46" s="27" t="n">
        <v>46056.44</v>
      </c>
      <c r="Y46" s="17"/>
      <c r="Z46" s="23"/>
      <c r="AA46" s="24" t="s">
        <v>167</v>
      </c>
      <c r="AB46" s="25"/>
      <c r="AC46" s="25" t="n">
        <v>1214.27</v>
      </c>
      <c r="AD46" s="27" t="n">
        <v>76402.68</v>
      </c>
      <c r="AE46" s="17"/>
      <c r="AF46" s="17"/>
      <c r="AG46" s="17"/>
      <c r="AH46" s="17"/>
      <c r="AI46" s="17"/>
      <c r="AJ46" s="17"/>
      <c r="AK46" s="17"/>
      <c r="AL46" s="17"/>
      <c r="AM46" s="24" t="s">
        <v>65</v>
      </c>
      <c r="AN46" s="25"/>
      <c r="AO46" s="25" t="n">
        <v>2561.91</v>
      </c>
      <c r="AP46" s="27" t="n">
        <v>70725.48</v>
      </c>
      <c r="AQ46" s="17"/>
      <c r="AR46" s="17"/>
      <c r="AS46" s="24" t="s">
        <v>90</v>
      </c>
      <c r="AT46" s="25"/>
      <c r="AU46" s="25" t="n">
        <v>120.05</v>
      </c>
      <c r="AV46" s="27" t="n">
        <v>19494.15</v>
      </c>
      <c r="AW46" s="17"/>
      <c r="AX46" s="17"/>
      <c r="AY46" s="24" t="s">
        <v>57</v>
      </c>
      <c r="AZ46" s="25"/>
      <c r="BA46" s="25" t="n">
        <v>7.32</v>
      </c>
      <c r="BB46" s="27" t="n">
        <v>37600.34</v>
      </c>
      <c r="BC46" s="17"/>
      <c r="BD46" s="17"/>
      <c r="BE46" s="47" t="s">
        <v>151</v>
      </c>
      <c r="BF46" s="30" t="s">
        <v>151</v>
      </c>
      <c r="BG46" s="30" t="n">
        <v>1250</v>
      </c>
      <c r="BH46" s="31" t="n">
        <v>69109.18</v>
      </c>
    </row>
    <row r="47" customFormat="false" ht="15.75" hidden="false" customHeight="true" outlineLevel="0" collapsed="false">
      <c r="A47" s="17"/>
      <c r="B47" s="17"/>
      <c r="C47" s="17"/>
      <c r="D47" s="17"/>
      <c r="E47" s="17"/>
      <c r="F47" s="17"/>
      <c r="G47" s="17"/>
      <c r="H47" s="17"/>
      <c r="I47" s="32" t="s">
        <v>137</v>
      </c>
      <c r="J47" s="34"/>
      <c r="K47" s="34" t="n">
        <v>9.43</v>
      </c>
      <c r="L47" s="27" t="n">
        <v>21798</v>
      </c>
      <c r="M47" s="23"/>
      <c r="N47" s="23"/>
      <c r="O47" s="32" t="s">
        <v>137</v>
      </c>
      <c r="P47" s="34"/>
      <c r="Q47" s="34" t="n">
        <v>157.93</v>
      </c>
      <c r="R47" s="27" t="n">
        <v>6627.88</v>
      </c>
      <c r="S47" s="17"/>
      <c r="T47" s="23"/>
      <c r="U47" s="32" t="s">
        <v>106</v>
      </c>
      <c r="V47" s="34"/>
      <c r="W47" s="34" t="n">
        <v>1430</v>
      </c>
      <c r="X47" s="27" t="n">
        <v>44626.44</v>
      </c>
      <c r="Y47" s="17"/>
      <c r="Z47" s="23"/>
      <c r="AA47" s="32" t="s">
        <v>81</v>
      </c>
      <c r="AB47" s="34"/>
      <c r="AC47" s="34" t="n">
        <v>1065.09</v>
      </c>
      <c r="AD47" s="27" t="n">
        <v>75337.59</v>
      </c>
      <c r="AE47" s="17"/>
      <c r="AF47" s="17"/>
      <c r="AG47" s="17"/>
      <c r="AH47" s="17"/>
      <c r="AI47" s="17"/>
      <c r="AJ47" s="17"/>
      <c r="AK47" s="17"/>
      <c r="AL47" s="17"/>
      <c r="AM47" s="32" t="s">
        <v>65</v>
      </c>
      <c r="AN47" s="34"/>
      <c r="AO47" s="34" t="n">
        <v>10420.8</v>
      </c>
      <c r="AP47" s="27" t="n">
        <v>60304.68</v>
      </c>
      <c r="AQ47" s="17"/>
      <c r="AR47" s="17"/>
      <c r="AS47" s="32" t="s">
        <v>90</v>
      </c>
      <c r="AT47" s="34"/>
      <c r="AU47" s="34" t="n">
        <v>3689.98</v>
      </c>
      <c r="AV47" s="27" t="n">
        <v>15804.17</v>
      </c>
      <c r="AW47" s="17"/>
      <c r="AX47" s="17"/>
      <c r="AY47" s="32" t="s">
        <v>57</v>
      </c>
      <c r="AZ47" s="34"/>
      <c r="BA47" s="34" t="n">
        <v>11.22</v>
      </c>
      <c r="BB47" s="27" t="n">
        <v>37589.12</v>
      </c>
      <c r="BC47" s="17"/>
      <c r="BD47" s="17"/>
      <c r="BE47" s="46" t="s">
        <v>151</v>
      </c>
      <c r="BF47" s="37" t="s">
        <v>151</v>
      </c>
      <c r="BG47" s="37" t="n">
        <v>48</v>
      </c>
      <c r="BH47" s="31" t="n">
        <v>69061.18</v>
      </c>
    </row>
    <row r="48" customFormat="false" ht="15.75" hidden="false" customHeight="true" outlineLevel="0" collapsed="false">
      <c r="A48" s="17"/>
      <c r="B48" s="17"/>
      <c r="C48" s="17"/>
      <c r="D48" s="17"/>
      <c r="E48" s="17"/>
      <c r="F48" s="17"/>
      <c r="G48" s="17"/>
      <c r="H48" s="17"/>
      <c r="I48" s="24" t="s">
        <v>137</v>
      </c>
      <c r="J48" s="25"/>
      <c r="K48" s="25" t="n">
        <v>31.4</v>
      </c>
      <c r="L48" s="27" t="n">
        <v>21766.6</v>
      </c>
      <c r="M48" s="23"/>
      <c r="N48" s="23"/>
      <c r="O48" s="24" t="s">
        <v>187</v>
      </c>
      <c r="P48" s="25"/>
      <c r="Q48" s="25" t="n">
        <v>47.76</v>
      </c>
      <c r="R48" s="27" t="n">
        <v>6580.12</v>
      </c>
      <c r="S48" s="17"/>
      <c r="T48" s="23"/>
      <c r="U48" s="24" t="s">
        <v>301</v>
      </c>
      <c r="V48" s="25" t="n">
        <v>16820.08</v>
      </c>
      <c r="W48" s="25"/>
      <c r="X48" s="27" t="n">
        <v>61446.52</v>
      </c>
      <c r="Y48" s="17"/>
      <c r="Z48" s="23"/>
      <c r="AA48" s="63" t="s">
        <v>151</v>
      </c>
      <c r="AB48" s="64" t="n">
        <v>46710.31</v>
      </c>
      <c r="AC48" s="65" t="n">
        <v>32017.3</v>
      </c>
      <c r="AD48" s="67" t="s">
        <v>151</v>
      </c>
      <c r="AE48" s="17"/>
      <c r="AF48" s="17"/>
      <c r="AG48" s="17"/>
      <c r="AH48" s="17"/>
      <c r="AI48" s="17"/>
      <c r="AJ48" s="17"/>
      <c r="AK48" s="17"/>
      <c r="AL48" s="17"/>
      <c r="AM48" s="24" t="s">
        <v>52</v>
      </c>
      <c r="AN48" s="25"/>
      <c r="AO48" s="25" t="n">
        <v>680.87</v>
      </c>
      <c r="AP48" s="27" t="n">
        <v>59623.81</v>
      </c>
      <c r="AQ48" s="17"/>
      <c r="AR48" s="17"/>
      <c r="AS48" s="24" t="s">
        <v>91</v>
      </c>
      <c r="AT48" s="25"/>
      <c r="AU48" s="25" t="n">
        <v>365.27</v>
      </c>
      <c r="AV48" s="27" t="n">
        <v>15438.9</v>
      </c>
      <c r="AW48" s="17"/>
      <c r="AX48" s="17"/>
      <c r="AY48" s="24" t="s">
        <v>57</v>
      </c>
      <c r="AZ48" s="25"/>
      <c r="BA48" s="25" t="n">
        <v>10.53</v>
      </c>
      <c r="BB48" s="27" t="n">
        <v>37578.59</v>
      </c>
      <c r="BC48" s="17"/>
      <c r="BD48" s="17"/>
      <c r="BE48" s="47" t="s">
        <v>151</v>
      </c>
      <c r="BF48" s="30" t="s">
        <v>151</v>
      </c>
      <c r="BG48" s="30" t="n">
        <v>199.9</v>
      </c>
      <c r="BH48" s="31" t="n">
        <v>68861.28</v>
      </c>
    </row>
    <row r="49" customFormat="false" ht="15.75" hidden="false" customHeight="true" outlineLevel="0" collapsed="false">
      <c r="A49" s="17"/>
      <c r="B49" s="17"/>
      <c r="C49" s="17"/>
      <c r="D49" s="17"/>
      <c r="E49" s="17"/>
      <c r="F49" s="17"/>
      <c r="G49" s="17"/>
      <c r="H49" s="17"/>
      <c r="I49" s="52" t="s">
        <v>151</v>
      </c>
      <c r="J49" s="53" t="n">
        <v>25835.82</v>
      </c>
      <c r="K49" s="54" t="n">
        <v>19079.61</v>
      </c>
      <c r="L49" s="17"/>
      <c r="M49" s="23"/>
      <c r="N49" s="23"/>
      <c r="O49" s="32" t="s">
        <v>140</v>
      </c>
      <c r="P49" s="34"/>
      <c r="Q49" s="34" t="n">
        <v>93.83</v>
      </c>
      <c r="R49" s="27" t="n">
        <v>6486.29</v>
      </c>
      <c r="S49" s="17"/>
      <c r="T49" s="23"/>
      <c r="U49" s="32" t="s">
        <v>302</v>
      </c>
      <c r="V49" s="34"/>
      <c r="W49" s="34" t="n">
        <v>12.5</v>
      </c>
      <c r="X49" s="27" t="n">
        <v>61434.02</v>
      </c>
      <c r="Y49" s="17"/>
      <c r="Z49" s="23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32" t="s">
        <v>66</v>
      </c>
      <c r="AN49" s="34"/>
      <c r="AO49" s="34" t="n">
        <v>1</v>
      </c>
      <c r="AP49" s="27" t="n">
        <v>59622.81</v>
      </c>
      <c r="AQ49" s="17"/>
      <c r="AR49" s="17"/>
      <c r="AS49" s="32" t="s">
        <v>68</v>
      </c>
      <c r="AT49" s="34"/>
      <c r="AU49" s="34" t="n">
        <v>130</v>
      </c>
      <c r="AV49" s="27" t="n">
        <v>15308.9</v>
      </c>
      <c r="AW49" s="17"/>
      <c r="AX49" s="17"/>
      <c r="AY49" s="32" t="s">
        <v>111</v>
      </c>
      <c r="AZ49" s="34"/>
      <c r="BA49" s="34" t="n">
        <v>2271</v>
      </c>
      <c r="BB49" s="27" t="n">
        <v>35307.59</v>
      </c>
      <c r="BC49" s="17"/>
      <c r="BD49" s="17"/>
      <c r="BE49" s="46" t="s">
        <v>151</v>
      </c>
      <c r="BF49" s="37" t="s">
        <v>151</v>
      </c>
      <c r="BG49" s="37" t="n">
        <v>9.96</v>
      </c>
      <c r="BH49" s="31" t="n">
        <v>68851.32</v>
      </c>
    </row>
    <row r="50" customFormat="false" ht="15.75" hidden="false" customHeight="true" outlineLevel="0" collapsed="false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23"/>
      <c r="O50" s="24" t="s">
        <v>303</v>
      </c>
      <c r="P50" s="25"/>
      <c r="Q50" s="25" t="n">
        <v>94.04</v>
      </c>
      <c r="R50" s="27" t="n">
        <v>6392.25</v>
      </c>
      <c r="S50" s="17"/>
      <c r="T50" s="23"/>
      <c r="U50" s="24" t="s">
        <v>235</v>
      </c>
      <c r="V50" s="25"/>
      <c r="W50" s="25" t="n">
        <v>104.14</v>
      </c>
      <c r="X50" s="27" t="n">
        <v>61329.88</v>
      </c>
      <c r="Y50" s="17"/>
      <c r="Z50" s="23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24" t="s">
        <v>67</v>
      </c>
      <c r="AN50" s="25"/>
      <c r="AO50" s="25" t="n">
        <v>40</v>
      </c>
      <c r="AP50" s="27" t="n">
        <v>59582.81</v>
      </c>
      <c r="AQ50" s="17"/>
      <c r="AR50" s="17"/>
      <c r="AS50" s="24" t="s">
        <v>92</v>
      </c>
      <c r="AT50" s="25" t="n">
        <v>10000</v>
      </c>
      <c r="AU50" s="25"/>
      <c r="AV50" s="27" t="n">
        <v>25308.9</v>
      </c>
      <c r="AW50" s="17"/>
      <c r="AX50" s="17"/>
      <c r="AY50" s="24" t="s">
        <v>111</v>
      </c>
      <c r="AZ50" s="25"/>
      <c r="BA50" s="25" t="n">
        <v>680.87</v>
      </c>
      <c r="BB50" s="27" t="n">
        <v>34626.72</v>
      </c>
      <c r="BC50" s="17"/>
      <c r="BD50" s="17"/>
      <c r="BE50" s="47" t="s">
        <v>151</v>
      </c>
      <c r="BF50" s="30" t="s">
        <v>151</v>
      </c>
      <c r="BG50" s="30" t="n">
        <v>121.46</v>
      </c>
      <c r="BH50" s="31" t="n">
        <v>68729.86</v>
      </c>
    </row>
    <row r="51" customFormat="false" ht="15.75" hidden="false" customHeight="true" outlineLevel="0" collapsed="false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23"/>
      <c r="O51" s="32" t="s">
        <v>304</v>
      </c>
      <c r="P51" s="34" t="n">
        <v>51616.95</v>
      </c>
      <c r="Q51" s="34"/>
      <c r="R51" s="27" t="n">
        <v>58009.2</v>
      </c>
      <c r="S51" s="17"/>
      <c r="T51" s="23"/>
      <c r="U51" s="32" t="s">
        <v>271</v>
      </c>
      <c r="V51" s="34"/>
      <c r="W51" s="34" t="n">
        <v>12.15</v>
      </c>
      <c r="X51" s="27" t="n">
        <v>61317.73</v>
      </c>
      <c r="Y51" s="17"/>
      <c r="Z51" s="23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32" t="s">
        <v>68</v>
      </c>
      <c r="AN51" s="34"/>
      <c r="AO51" s="34" t="n">
        <v>157</v>
      </c>
      <c r="AP51" s="27" t="n">
        <v>59425.81</v>
      </c>
      <c r="AQ51" s="17"/>
      <c r="AR51" s="17"/>
      <c r="AS51" s="32" t="s">
        <v>76</v>
      </c>
      <c r="AT51" s="34"/>
      <c r="AU51" s="34" t="n">
        <v>1600.28</v>
      </c>
      <c r="AV51" s="27" t="n">
        <v>23708.62</v>
      </c>
      <c r="AW51" s="17"/>
      <c r="AX51" s="17"/>
      <c r="AY51" s="32" t="s">
        <v>98</v>
      </c>
      <c r="AZ51" s="34"/>
      <c r="BA51" s="34" t="n">
        <v>1250</v>
      </c>
      <c r="BB51" s="27" t="n">
        <v>33376.72</v>
      </c>
      <c r="BC51" s="17"/>
      <c r="BD51" s="17"/>
      <c r="BE51" s="46" t="s">
        <v>151</v>
      </c>
      <c r="BF51" s="37" t="n">
        <v>2071.32</v>
      </c>
      <c r="BG51" s="37" t="s">
        <v>151</v>
      </c>
      <c r="BH51" s="31" t="n">
        <v>70801.18</v>
      </c>
    </row>
    <row r="52" customFormat="false" ht="15.75" hidden="false" customHeight="true" outlineLevel="0" collapsed="false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23"/>
      <c r="O52" s="24" t="s">
        <v>305</v>
      </c>
      <c r="P52" s="25"/>
      <c r="Q52" s="25" t="n">
        <v>23.45</v>
      </c>
      <c r="R52" s="27" t="n">
        <v>57985.75</v>
      </c>
      <c r="S52" s="17"/>
      <c r="T52" s="23"/>
      <c r="U52" s="24" t="s">
        <v>271</v>
      </c>
      <c r="V52" s="25"/>
      <c r="W52" s="25" t="n">
        <v>17.4</v>
      </c>
      <c r="X52" s="27" t="n">
        <v>61300.33</v>
      </c>
      <c r="Y52" s="17"/>
      <c r="Z52" s="23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68" t="s">
        <v>151</v>
      </c>
      <c r="AN52" s="64" t="n">
        <v>5031.93</v>
      </c>
      <c r="AO52" s="65" t="n">
        <v>50528.1</v>
      </c>
      <c r="AP52" s="67" t="s">
        <v>151</v>
      </c>
      <c r="AQ52" s="17"/>
      <c r="AR52" s="17"/>
      <c r="AS52" s="24" t="s">
        <v>77</v>
      </c>
      <c r="AT52" s="25"/>
      <c r="AU52" s="25" t="n">
        <v>3235.59</v>
      </c>
      <c r="AV52" s="27" t="n">
        <v>20473.03</v>
      </c>
      <c r="AW52" s="17"/>
      <c r="AX52" s="17"/>
      <c r="AY52" s="24" t="s">
        <v>97</v>
      </c>
      <c r="AZ52" s="25"/>
      <c r="BA52" s="25" t="n">
        <v>1250</v>
      </c>
      <c r="BB52" s="27" t="n">
        <v>32126.72</v>
      </c>
      <c r="BC52" s="17"/>
      <c r="BD52" s="17"/>
      <c r="BE52" s="47" t="s">
        <v>151</v>
      </c>
      <c r="BF52" s="30" t="s">
        <v>151</v>
      </c>
      <c r="BG52" s="30" t="n">
        <v>6.97</v>
      </c>
      <c r="BH52" s="31" t="n">
        <v>70794.21</v>
      </c>
    </row>
    <row r="53" customFormat="false" ht="15.75" hidden="false" customHeight="true" outlineLevel="0" collapsed="false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23"/>
      <c r="O53" s="32" t="s">
        <v>305</v>
      </c>
      <c r="P53" s="34"/>
      <c r="Q53" s="34" t="n">
        <v>16.1</v>
      </c>
      <c r="R53" s="27" t="n">
        <v>57969.65</v>
      </c>
      <c r="S53" s="17"/>
      <c r="T53" s="23"/>
      <c r="U53" s="32" t="s">
        <v>58</v>
      </c>
      <c r="V53" s="34"/>
      <c r="W53" s="34" t="n">
        <v>36</v>
      </c>
      <c r="X53" s="27" t="n">
        <v>61264.33</v>
      </c>
      <c r="Y53" s="17"/>
      <c r="Z53" s="23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32" t="s">
        <v>77</v>
      </c>
      <c r="AT53" s="34"/>
      <c r="AU53" s="34" t="n">
        <v>4363.35</v>
      </c>
      <c r="AV53" s="27" t="n">
        <v>16109.68</v>
      </c>
      <c r="AW53" s="17"/>
      <c r="AX53" s="17"/>
      <c r="AY53" s="32"/>
      <c r="AZ53" s="34"/>
      <c r="BA53" s="34"/>
      <c r="BB53" s="27" t="n">
        <v>32126.72</v>
      </c>
      <c r="BC53" s="17"/>
      <c r="BD53" s="17"/>
      <c r="BE53" s="46" t="s">
        <v>151</v>
      </c>
      <c r="BF53" s="37" t="s">
        <v>151</v>
      </c>
      <c r="BG53" s="37" t="n">
        <v>348.45</v>
      </c>
      <c r="BH53" s="31" t="n">
        <v>70445.76</v>
      </c>
    </row>
    <row r="54" customFormat="false" ht="15.75" hidden="false" customHeight="true" outlineLevel="0" collapsed="false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23"/>
      <c r="O54" s="24" t="s">
        <v>305</v>
      </c>
      <c r="P54" s="25"/>
      <c r="Q54" s="25" t="n">
        <v>4.45</v>
      </c>
      <c r="R54" s="27" t="n">
        <v>57965.2</v>
      </c>
      <c r="S54" s="17"/>
      <c r="T54" s="23"/>
      <c r="U54" s="24" t="s">
        <v>58</v>
      </c>
      <c r="V54" s="25"/>
      <c r="W54" s="25" t="n">
        <v>95.96</v>
      </c>
      <c r="X54" s="27" t="n">
        <v>61168.37</v>
      </c>
      <c r="Y54" s="17"/>
      <c r="Z54" s="23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69"/>
      <c r="AN54" s="69"/>
      <c r="AO54" s="17"/>
      <c r="AP54" s="17"/>
      <c r="AQ54" s="17"/>
      <c r="AR54" s="17"/>
      <c r="AS54" s="24" t="s">
        <v>81</v>
      </c>
      <c r="AT54" s="25"/>
      <c r="AU54" s="25" t="n">
        <v>680.87</v>
      </c>
      <c r="AV54" s="27" t="n">
        <v>15428.81</v>
      </c>
      <c r="AW54" s="17"/>
      <c r="AX54" s="17"/>
      <c r="AY54" s="24" t="s">
        <v>99</v>
      </c>
      <c r="AZ54" s="25"/>
      <c r="BA54" s="25" t="n">
        <v>9.96</v>
      </c>
      <c r="BB54" s="27" t="n">
        <v>32116.76</v>
      </c>
      <c r="BC54" s="17"/>
      <c r="BD54" s="17"/>
      <c r="BE54" s="47" t="s">
        <v>151</v>
      </c>
      <c r="BF54" s="30" t="s">
        <v>151</v>
      </c>
      <c r="BG54" s="30" t="n">
        <v>246</v>
      </c>
      <c r="BH54" s="31" t="n">
        <v>70199.76</v>
      </c>
    </row>
    <row r="55" customFormat="false" ht="15.75" hidden="false" customHeight="true" outlineLevel="0" collapsed="false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23"/>
      <c r="O55" s="32" t="s">
        <v>305</v>
      </c>
      <c r="P55" s="34"/>
      <c r="Q55" s="34" t="n">
        <v>15.85</v>
      </c>
      <c r="R55" s="27" t="n">
        <v>57949.35</v>
      </c>
      <c r="S55" s="17"/>
      <c r="T55" s="23"/>
      <c r="U55" s="32" t="s">
        <v>42</v>
      </c>
      <c r="V55" s="34"/>
      <c r="W55" s="34" t="n">
        <v>142.02</v>
      </c>
      <c r="X55" s="27" t="n">
        <v>61026.35</v>
      </c>
      <c r="Y55" s="17"/>
      <c r="Z55" s="23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69"/>
      <c r="AN55" s="69"/>
      <c r="AO55" s="17"/>
      <c r="AP55" s="17"/>
      <c r="AQ55" s="17"/>
      <c r="AR55" s="17"/>
      <c r="AS55" s="32"/>
      <c r="AT55" s="34"/>
      <c r="AU55" s="34"/>
      <c r="AV55" s="26" t="s">
        <v>151</v>
      </c>
      <c r="AW55" s="17"/>
      <c r="AX55" s="17"/>
      <c r="AY55" s="32" t="s">
        <v>112</v>
      </c>
      <c r="AZ55" s="34"/>
      <c r="BA55" s="34" t="n">
        <v>226.02</v>
      </c>
      <c r="BB55" s="27" t="n">
        <v>31890.74</v>
      </c>
      <c r="BC55" s="17"/>
      <c r="BD55" s="17"/>
      <c r="BE55" s="46" t="s">
        <v>151</v>
      </c>
      <c r="BF55" s="37" t="s">
        <v>151</v>
      </c>
      <c r="BG55" s="37" t="n">
        <v>53.47</v>
      </c>
      <c r="BH55" s="31" t="n">
        <v>70146.29</v>
      </c>
    </row>
    <row r="56" customFormat="false" ht="15.75" hidden="false" customHeight="true" outlineLevel="0" collapsed="false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23"/>
      <c r="O56" s="24" t="s">
        <v>306</v>
      </c>
      <c r="P56" s="25"/>
      <c r="Q56" s="25" t="n">
        <v>149.62</v>
      </c>
      <c r="R56" s="27" t="n">
        <v>57799.73</v>
      </c>
      <c r="S56" s="17"/>
      <c r="T56" s="23"/>
      <c r="U56" s="24" t="s">
        <v>307</v>
      </c>
      <c r="V56" s="25"/>
      <c r="W56" s="25" t="n">
        <v>2512.89</v>
      </c>
      <c r="X56" s="27" t="n">
        <v>58513.46</v>
      </c>
      <c r="Y56" s="17"/>
      <c r="Z56" s="23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24"/>
      <c r="AT56" s="25"/>
      <c r="AU56" s="25"/>
      <c r="AV56" s="26" t="s">
        <v>151</v>
      </c>
      <c r="AW56" s="17"/>
      <c r="AX56" s="17"/>
      <c r="AY56" s="24" t="s">
        <v>42</v>
      </c>
      <c r="AZ56" s="25"/>
      <c r="BA56" s="25" t="n">
        <v>58.31</v>
      </c>
      <c r="BB56" s="27" t="n">
        <v>31832.43</v>
      </c>
      <c r="BC56" s="17"/>
      <c r="BD56" s="17"/>
      <c r="BE56" s="47" t="s">
        <v>151</v>
      </c>
      <c r="BF56" s="30" t="s">
        <v>151</v>
      </c>
      <c r="BG56" s="30" t="s">
        <v>151</v>
      </c>
      <c r="BH56" s="70" t="s">
        <v>151</v>
      </c>
    </row>
    <row r="57" customFormat="false" ht="15.75" hidden="false" customHeight="true" outlineLevel="0" collapsed="false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23"/>
      <c r="O57" s="32" t="s">
        <v>178</v>
      </c>
      <c r="P57" s="34"/>
      <c r="Q57" s="34" t="n">
        <v>1259.19</v>
      </c>
      <c r="R57" s="27" t="n">
        <v>56540.54</v>
      </c>
      <c r="S57" s="17"/>
      <c r="T57" s="23"/>
      <c r="U57" s="32" t="s">
        <v>106</v>
      </c>
      <c r="V57" s="34"/>
      <c r="W57" s="34" t="n">
        <v>193.05</v>
      </c>
      <c r="X57" s="27" t="n">
        <v>58320.41</v>
      </c>
      <c r="Y57" s="17"/>
      <c r="Z57" s="23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68" t="s">
        <v>151</v>
      </c>
      <c r="AT57" s="64" t="n">
        <v>39132.34</v>
      </c>
      <c r="AU57" s="65" t="n">
        <v>74849.53</v>
      </c>
      <c r="AV57" s="67" t="s">
        <v>151</v>
      </c>
      <c r="AW57" s="17"/>
      <c r="AX57" s="17"/>
      <c r="AY57" s="32" t="s">
        <v>113</v>
      </c>
      <c r="AZ57" s="34"/>
      <c r="BA57" s="34" t="n">
        <v>79.95</v>
      </c>
      <c r="BB57" s="27" t="n">
        <v>31752.48</v>
      </c>
      <c r="BC57" s="17"/>
      <c r="BD57" s="17"/>
      <c r="BE57" s="46" t="s">
        <v>151</v>
      </c>
      <c r="BF57" s="37" t="s">
        <v>151</v>
      </c>
      <c r="BG57" s="37" t="s">
        <v>151</v>
      </c>
      <c r="BH57" s="70" t="s">
        <v>151</v>
      </c>
    </row>
    <row r="58" customFormat="false" ht="15.75" hidden="false" customHeight="true" outlineLevel="0" collapsed="false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23"/>
      <c r="O58" s="24" t="n">
        <v>21149402</v>
      </c>
      <c r="P58" s="25"/>
      <c r="Q58" s="25" t="n">
        <v>5100</v>
      </c>
      <c r="R58" s="27" t="n">
        <v>51440.54</v>
      </c>
      <c r="S58" s="17"/>
      <c r="T58" s="23"/>
      <c r="U58" s="24" t="s">
        <v>308</v>
      </c>
      <c r="V58" s="25" t="n">
        <v>4223.82</v>
      </c>
      <c r="W58" s="25"/>
      <c r="X58" s="27" t="n">
        <v>62544.23</v>
      </c>
      <c r="Y58" s="17"/>
      <c r="Z58" s="23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24" t="s">
        <v>95</v>
      </c>
      <c r="AZ58" s="25" t="n">
        <v>4797</v>
      </c>
      <c r="BA58" s="25"/>
      <c r="BB58" s="27" t="n">
        <v>36549.48</v>
      </c>
      <c r="BC58" s="17"/>
      <c r="BD58" s="17"/>
      <c r="BE58" s="47" t="s">
        <v>151</v>
      </c>
      <c r="BF58" s="30" t="s">
        <v>151</v>
      </c>
      <c r="BG58" s="30" t="s">
        <v>151</v>
      </c>
      <c r="BH58" s="70" t="s">
        <v>151</v>
      </c>
    </row>
    <row r="59" customFormat="false" ht="15.75" hidden="false" customHeight="true" outlineLevel="0" collapsed="false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23"/>
      <c r="O59" s="32" t="s">
        <v>54</v>
      </c>
      <c r="P59" s="34"/>
      <c r="Q59" s="34" t="n">
        <v>410.27</v>
      </c>
      <c r="R59" s="27" t="n">
        <v>51030.27</v>
      </c>
      <c r="S59" s="17"/>
      <c r="T59" s="23"/>
      <c r="U59" s="32" t="s">
        <v>271</v>
      </c>
      <c r="V59" s="34"/>
      <c r="W59" s="34" t="n">
        <v>22.55</v>
      </c>
      <c r="X59" s="27" t="n">
        <v>62521.68</v>
      </c>
      <c r="Y59" s="17"/>
      <c r="Z59" s="23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32" t="s">
        <v>100</v>
      </c>
      <c r="AZ59" s="34"/>
      <c r="BA59" s="34" t="n">
        <v>48</v>
      </c>
      <c r="BB59" s="27" t="n">
        <v>36501.48</v>
      </c>
      <c r="BC59" s="17"/>
      <c r="BD59" s="17"/>
      <c r="BE59" s="46" t="s">
        <v>151</v>
      </c>
      <c r="BF59" s="37" t="s">
        <v>151</v>
      </c>
      <c r="BG59" s="37" t="s">
        <v>151</v>
      </c>
      <c r="BH59" s="70" t="s">
        <v>151</v>
      </c>
    </row>
    <row r="60" customFormat="false" ht="15.75" hidden="false" customHeight="true" outlineLevel="0" collapsed="false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23"/>
      <c r="O60" s="24" t="s">
        <v>309</v>
      </c>
      <c r="P60" s="25" t="n">
        <v>2404.65</v>
      </c>
      <c r="Q60" s="25"/>
      <c r="R60" s="27" t="n">
        <v>53434.92</v>
      </c>
      <c r="S60" s="17"/>
      <c r="T60" s="23"/>
      <c r="U60" s="24" t="s">
        <v>271</v>
      </c>
      <c r="V60" s="25"/>
      <c r="W60" s="25" t="n">
        <v>12.1</v>
      </c>
      <c r="X60" s="27" t="n">
        <v>62509.58</v>
      </c>
      <c r="Y60" s="17"/>
      <c r="Z60" s="23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 t="n">
        <v>0</v>
      </c>
      <c r="AW60" s="17"/>
      <c r="AX60" s="17"/>
      <c r="AY60" s="24" t="s">
        <v>42</v>
      </c>
      <c r="AZ60" s="25"/>
      <c r="BA60" s="25" t="n">
        <v>8.37</v>
      </c>
      <c r="BB60" s="27" t="n">
        <v>36493.11</v>
      </c>
      <c r="BC60" s="17"/>
      <c r="BD60" s="17"/>
      <c r="BE60" s="47" t="s">
        <v>151</v>
      </c>
      <c r="BF60" s="30" t="s">
        <v>151</v>
      </c>
      <c r="BG60" s="30" t="s">
        <v>151</v>
      </c>
      <c r="BH60" s="70" t="s">
        <v>151</v>
      </c>
    </row>
    <row r="61" customFormat="false" ht="15.75" hidden="false" customHeight="true" outlineLevel="0" collapsed="false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23"/>
      <c r="O61" s="32" t="s">
        <v>178</v>
      </c>
      <c r="P61" s="34"/>
      <c r="Q61" s="34" t="n">
        <v>36</v>
      </c>
      <c r="R61" s="27" t="n">
        <v>53398.92</v>
      </c>
      <c r="S61" s="17"/>
      <c r="T61" s="23"/>
      <c r="U61" s="32" t="s">
        <v>310</v>
      </c>
      <c r="V61" s="34"/>
      <c r="W61" s="34" t="n">
        <v>1152</v>
      </c>
      <c r="X61" s="27" t="n">
        <v>61357.58</v>
      </c>
      <c r="Y61" s="17"/>
      <c r="Z61" s="23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32" t="s">
        <v>311</v>
      </c>
      <c r="AZ61" s="34"/>
      <c r="BA61" s="34" t="n">
        <v>89.13</v>
      </c>
      <c r="BB61" s="27" t="n">
        <v>36403.98</v>
      </c>
      <c r="BC61" s="17"/>
      <c r="BD61" s="17"/>
      <c r="BE61" s="46" t="s">
        <v>151</v>
      </c>
      <c r="BF61" s="37" t="s">
        <v>151</v>
      </c>
      <c r="BG61" s="37" t="s">
        <v>151</v>
      </c>
      <c r="BH61" s="70" t="s">
        <v>151</v>
      </c>
    </row>
    <row r="62" customFormat="false" ht="15.75" hidden="false" customHeight="true" outlineLevel="0" collapsed="false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23"/>
      <c r="O62" s="24" t="s">
        <v>305</v>
      </c>
      <c r="P62" s="25"/>
      <c r="Q62" s="25" t="n">
        <v>11.15</v>
      </c>
      <c r="R62" s="27" t="n">
        <v>53387.77</v>
      </c>
      <c r="S62" s="17"/>
      <c r="T62" s="23"/>
      <c r="U62" s="24" t="s">
        <v>271</v>
      </c>
      <c r="V62" s="25"/>
      <c r="W62" s="25" t="n">
        <v>12.35</v>
      </c>
      <c r="X62" s="27" t="n">
        <v>61345.23</v>
      </c>
      <c r="Y62" s="17"/>
      <c r="Z62" s="23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24" t="s">
        <v>115</v>
      </c>
      <c r="AZ62" s="25" t="n">
        <v>522.75</v>
      </c>
      <c r="BA62" s="25"/>
      <c r="BB62" s="27" t="n">
        <v>36926.73</v>
      </c>
      <c r="BC62" s="17"/>
      <c r="BD62" s="17"/>
      <c r="BE62" s="47" t="s">
        <v>151</v>
      </c>
      <c r="BF62" s="30" t="s">
        <v>151</v>
      </c>
      <c r="BG62" s="30" t="s">
        <v>151</v>
      </c>
      <c r="BH62" s="70" t="s">
        <v>151</v>
      </c>
    </row>
    <row r="63" customFormat="false" ht="15.75" hidden="false" customHeight="true" outlineLevel="0" collapsed="false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23"/>
      <c r="O63" s="32" t="s">
        <v>305</v>
      </c>
      <c r="P63" s="34"/>
      <c r="Q63" s="34" t="n">
        <v>19.5</v>
      </c>
      <c r="R63" s="27" t="n">
        <v>53368.27</v>
      </c>
      <c r="S63" s="17"/>
      <c r="T63" s="23"/>
      <c r="U63" s="32" t="s">
        <v>312</v>
      </c>
      <c r="V63" s="34"/>
      <c r="W63" s="34" t="n">
        <v>357.93</v>
      </c>
      <c r="X63" s="27" t="n">
        <v>60987.3</v>
      </c>
      <c r="Y63" s="17"/>
      <c r="Z63" s="23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32" t="s">
        <v>313</v>
      </c>
      <c r="AZ63" s="34"/>
      <c r="BA63" s="34" t="n">
        <v>11.43</v>
      </c>
      <c r="BB63" s="27" t="n">
        <v>36915.3</v>
      </c>
      <c r="BC63" s="17"/>
      <c r="BD63" s="17"/>
      <c r="BE63" s="46" t="s">
        <v>151</v>
      </c>
      <c r="BF63" s="37" t="s">
        <v>151</v>
      </c>
      <c r="BG63" s="37" t="s">
        <v>151</v>
      </c>
      <c r="BH63" s="70" t="s">
        <v>151</v>
      </c>
    </row>
    <row r="64" customFormat="false" ht="15.75" hidden="false" customHeight="true" outlineLevel="0" collapsed="false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23"/>
      <c r="O64" s="24" t="s">
        <v>137</v>
      </c>
      <c r="P64" s="25"/>
      <c r="Q64" s="25" t="n">
        <v>365.23</v>
      </c>
      <c r="R64" s="27" t="n">
        <v>53003.04</v>
      </c>
      <c r="S64" s="17"/>
      <c r="T64" s="23"/>
      <c r="U64" s="24" t="s">
        <v>314</v>
      </c>
      <c r="V64" s="25" t="n">
        <v>2091</v>
      </c>
      <c r="W64" s="25"/>
      <c r="X64" s="27" t="n">
        <v>63078.3</v>
      </c>
      <c r="Y64" s="17"/>
      <c r="Z64" s="23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24" t="s">
        <v>117</v>
      </c>
      <c r="AZ64" s="25"/>
      <c r="BA64" s="25" t="n">
        <v>976.43</v>
      </c>
      <c r="BB64" s="27" t="n">
        <v>35938.87</v>
      </c>
      <c r="BC64" s="17"/>
      <c r="BD64" s="17"/>
      <c r="BE64" s="47" t="s">
        <v>151</v>
      </c>
      <c r="BF64" s="30" t="s">
        <v>151</v>
      </c>
      <c r="BG64" s="30" t="s">
        <v>151</v>
      </c>
      <c r="BH64" s="70" t="s">
        <v>151</v>
      </c>
    </row>
    <row r="65" customFormat="false" ht="15.75" hidden="false" customHeight="true" outlineLevel="0" collapsed="false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23"/>
      <c r="O65" s="32" t="s">
        <v>315</v>
      </c>
      <c r="P65" s="34"/>
      <c r="Q65" s="34" t="n">
        <v>1</v>
      </c>
      <c r="R65" s="27" t="n">
        <v>53002.04</v>
      </c>
      <c r="S65" s="17"/>
      <c r="T65" s="23"/>
      <c r="U65" s="32" t="s">
        <v>316</v>
      </c>
      <c r="V65" s="34"/>
      <c r="W65" s="34" t="n">
        <v>640</v>
      </c>
      <c r="X65" s="27" t="n">
        <v>62438.3</v>
      </c>
      <c r="Y65" s="17"/>
      <c r="Z65" s="23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32" t="s">
        <v>62</v>
      </c>
      <c r="AZ65" s="34"/>
      <c r="BA65" s="34" t="n">
        <v>147.63</v>
      </c>
      <c r="BB65" s="27" t="n">
        <v>35791.24</v>
      </c>
      <c r="BC65" s="17"/>
      <c r="BD65" s="17"/>
      <c r="BE65" s="46" t="s">
        <v>151</v>
      </c>
      <c r="BF65" s="37" t="s">
        <v>151</v>
      </c>
      <c r="BG65" s="37" t="s">
        <v>151</v>
      </c>
      <c r="BH65" s="70" t="s">
        <v>151</v>
      </c>
    </row>
    <row r="66" customFormat="false" ht="15.75" hidden="false" customHeight="true" outlineLevel="0" collapsed="false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23"/>
      <c r="O66" s="24" t="s">
        <v>145</v>
      </c>
      <c r="P66" s="25"/>
      <c r="Q66" s="25" t="n">
        <v>41.96</v>
      </c>
      <c r="R66" s="27" t="n">
        <v>52960.08</v>
      </c>
      <c r="S66" s="17"/>
      <c r="T66" s="23"/>
      <c r="U66" s="24" t="s">
        <v>317</v>
      </c>
      <c r="V66" s="25"/>
      <c r="W66" s="25" t="n">
        <v>651.9</v>
      </c>
      <c r="X66" s="27" t="n">
        <v>61786.4</v>
      </c>
      <c r="Y66" s="17"/>
      <c r="Z66" s="23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24" t="s">
        <v>118</v>
      </c>
      <c r="AZ66" s="25"/>
      <c r="BA66" s="25" t="n">
        <v>513.22</v>
      </c>
      <c r="BB66" s="27" t="n">
        <v>35278.02</v>
      </c>
      <c r="BC66" s="17"/>
      <c r="BD66" s="17"/>
      <c r="BE66" s="47" t="s">
        <v>151</v>
      </c>
      <c r="BF66" s="30" t="s">
        <v>151</v>
      </c>
      <c r="BG66" s="30" t="s">
        <v>151</v>
      </c>
      <c r="BH66" s="70" t="s">
        <v>151</v>
      </c>
    </row>
    <row r="67" customFormat="false" ht="15.75" hidden="false" customHeight="true" outlineLevel="0" collapsed="false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23"/>
      <c r="O67" s="32" t="s">
        <v>241</v>
      </c>
      <c r="P67" s="34"/>
      <c r="Q67" s="34" t="n">
        <v>971.7</v>
      </c>
      <c r="R67" s="27" t="n">
        <v>51988.38</v>
      </c>
      <c r="S67" s="17"/>
      <c r="T67" s="23"/>
      <c r="U67" s="32" t="s">
        <v>300</v>
      </c>
      <c r="V67" s="34"/>
      <c r="W67" s="34" t="n">
        <v>246</v>
      </c>
      <c r="X67" s="27" t="n">
        <v>61540.4</v>
      </c>
      <c r="Y67" s="17"/>
      <c r="Z67" s="23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32" t="s">
        <v>118</v>
      </c>
      <c r="AZ67" s="34"/>
      <c r="BA67" s="34" t="n">
        <v>2309.89</v>
      </c>
      <c r="BB67" s="27" t="n">
        <v>32968.13</v>
      </c>
      <c r="BC67" s="17"/>
      <c r="BD67" s="17"/>
      <c r="BE67" s="46" t="s">
        <v>151</v>
      </c>
      <c r="BF67" s="37" t="s">
        <v>151</v>
      </c>
      <c r="BG67" s="37" t="s">
        <v>151</v>
      </c>
      <c r="BH67" s="70" t="s">
        <v>151</v>
      </c>
    </row>
    <row r="68" customFormat="false" ht="15.75" hidden="false" customHeight="true" outlineLevel="0" collapsed="false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23"/>
      <c r="O68" s="24" t="s">
        <v>318</v>
      </c>
      <c r="P68" s="25"/>
      <c r="Q68" s="25" t="n">
        <v>433.8</v>
      </c>
      <c r="R68" s="27" t="n">
        <v>51554.58</v>
      </c>
      <c r="S68" s="17"/>
      <c r="T68" s="23"/>
      <c r="U68" s="24" t="s">
        <v>57</v>
      </c>
      <c r="V68" s="25"/>
      <c r="W68" s="25" t="n">
        <v>119.69</v>
      </c>
      <c r="X68" s="27" t="n">
        <v>61420.71</v>
      </c>
      <c r="Y68" s="17"/>
      <c r="Z68" s="23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24" t="s">
        <v>39</v>
      </c>
      <c r="AZ68" s="25"/>
      <c r="BA68" s="25" t="n">
        <v>246</v>
      </c>
      <c r="BB68" s="27" t="n">
        <v>32722.13</v>
      </c>
      <c r="BC68" s="17"/>
      <c r="BD68" s="17"/>
      <c r="BE68" s="47" t="s">
        <v>151</v>
      </c>
      <c r="BF68" s="30" t="s">
        <v>151</v>
      </c>
      <c r="BG68" s="30" t="s">
        <v>151</v>
      </c>
      <c r="BH68" s="70" t="s">
        <v>151</v>
      </c>
    </row>
    <row r="69" customFormat="false" ht="15.75" hidden="false" customHeight="true" outlineLevel="0" collapsed="false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23"/>
      <c r="O69" s="32" t="s">
        <v>319</v>
      </c>
      <c r="P69" s="34"/>
      <c r="Q69" s="34" t="n">
        <v>365</v>
      </c>
      <c r="R69" s="27" t="n">
        <v>51189.58</v>
      </c>
      <c r="S69" s="17"/>
      <c r="T69" s="23"/>
      <c r="U69" s="32" t="s">
        <v>217</v>
      </c>
      <c r="V69" s="34"/>
      <c r="W69" s="34" t="n">
        <v>349.98</v>
      </c>
      <c r="X69" s="27" t="n">
        <v>61070.73</v>
      </c>
      <c r="Y69" s="17"/>
      <c r="Z69" s="23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32" t="s">
        <v>65</v>
      </c>
      <c r="AZ69" s="34"/>
      <c r="BA69" s="34" t="n">
        <v>2546.34</v>
      </c>
      <c r="BB69" s="27" t="n">
        <v>30175.79</v>
      </c>
      <c r="BC69" s="17"/>
      <c r="BD69" s="17"/>
      <c r="BE69" s="46" t="s">
        <v>151</v>
      </c>
      <c r="BF69" s="37" t="s">
        <v>151</v>
      </c>
      <c r="BG69" s="37" t="s">
        <v>151</v>
      </c>
      <c r="BH69" s="70" t="s">
        <v>151</v>
      </c>
    </row>
    <row r="70" customFormat="false" ht="15.75" hidden="false" customHeight="true" outlineLevel="0" collapsed="false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23"/>
      <c r="O70" s="24" t="s">
        <v>214</v>
      </c>
      <c r="P70" s="25" t="n">
        <v>1595.31</v>
      </c>
      <c r="Q70" s="25"/>
      <c r="R70" s="27" t="n">
        <v>52784.89</v>
      </c>
      <c r="S70" s="17"/>
      <c r="T70" s="23"/>
      <c r="U70" s="24" t="s">
        <v>227</v>
      </c>
      <c r="V70" s="25"/>
      <c r="W70" s="25" t="n">
        <v>90.1</v>
      </c>
      <c r="X70" s="27" t="n">
        <v>60980.63</v>
      </c>
      <c r="Y70" s="17"/>
      <c r="Z70" s="23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24" t="s">
        <v>320</v>
      </c>
      <c r="AZ70" s="25"/>
      <c r="BA70" s="25" t="n">
        <v>5534.7</v>
      </c>
      <c r="BB70" s="27" t="n">
        <v>24641.09</v>
      </c>
      <c r="BC70" s="17"/>
      <c r="BD70" s="17"/>
      <c r="BE70" s="47" t="s">
        <v>151</v>
      </c>
      <c r="BF70" s="30" t="s">
        <v>151</v>
      </c>
      <c r="BG70" s="30" t="s">
        <v>151</v>
      </c>
      <c r="BH70" s="70" t="s">
        <v>151</v>
      </c>
    </row>
    <row r="71" customFormat="false" ht="15.75" hidden="false" customHeight="true" outlineLevel="0" collapsed="false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23"/>
      <c r="O71" s="63" t="s">
        <v>151</v>
      </c>
      <c r="P71" s="64" t="n">
        <v>61024.74</v>
      </c>
      <c r="Q71" s="65" t="n">
        <v>30006.45</v>
      </c>
      <c r="R71" s="71"/>
      <c r="S71" s="17"/>
      <c r="T71" s="23"/>
      <c r="U71" s="32" t="s">
        <v>235</v>
      </c>
      <c r="V71" s="34"/>
      <c r="W71" s="34" t="n">
        <v>90.72</v>
      </c>
      <c r="X71" s="27" t="n">
        <v>60889.91</v>
      </c>
      <c r="Y71" s="17"/>
      <c r="Z71" s="23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32" t="s">
        <v>111</v>
      </c>
      <c r="AZ71" s="34"/>
      <c r="BA71" s="34" t="n">
        <v>629</v>
      </c>
      <c r="BB71" s="27" t="n">
        <v>24012.09</v>
      </c>
      <c r="BC71" s="17"/>
      <c r="BD71" s="17"/>
      <c r="BE71" s="46" t="s">
        <v>151</v>
      </c>
      <c r="BF71" s="37" t="s">
        <v>151</v>
      </c>
      <c r="BG71" s="37" t="s">
        <v>151</v>
      </c>
      <c r="BH71" s="70" t="s">
        <v>151</v>
      </c>
    </row>
    <row r="72" customFormat="false" ht="15.75" hidden="false" customHeight="true" outlineLevel="0" collapsed="false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23"/>
      <c r="P72" s="17"/>
      <c r="Q72" s="17"/>
      <c r="R72" s="17"/>
      <c r="S72" s="17"/>
      <c r="T72" s="17"/>
      <c r="U72" s="24" t="s">
        <v>321</v>
      </c>
      <c r="V72" s="25"/>
      <c r="W72" s="25" t="n">
        <v>47.5</v>
      </c>
      <c r="X72" s="27" t="n">
        <v>60842.41</v>
      </c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24" t="s">
        <v>76</v>
      </c>
      <c r="AZ72" s="25"/>
      <c r="BA72" s="25" t="n">
        <v>1544.64</v>
      </c>
      <c r="BB72" s="27" t="n">
        <v>22467.45</v>
      </c>
      <c r="BC72" s="17"/>
      <c r="BD72" s="17"/>
      <c r="BE72" s="47" t="s">
        <v>151</v>
      </c>
      <c r="BF72" s="30" t="s">
        <v>151</v>
      </c>
      <c r="BG72" s="30" t="s">
        <v>151</v>
      </c>
      <c r="BH72" s="70" t="s">
        <v>151</v>
      </c>
    </row>
    <row r="73" customFormat="false" ht="15.75" hidden="false" customHeight="true" outlineLevel="0" collapsed="false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23"/>
      <c r="P73" s="17"/>
      <c r="Q73" s="17"/>
      <c r="R73" s="17"/>
      <c r="S73" s="17"/>
      <c r="T73" s="17"/>
      <c r="U73" s="32" t="s">
        <v>275</v>
      </c>
      <c r="V73" s="57"/>
      <c r="W73" s="34" t="n">
        <v>435.09</v>
      </c>
      <c r="X73" s="27" t="n">
        <v>60407.32</v>
      </c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32" t="s">
        <v>76</v>
      </c>
      <c r="AZ73" s="34"/>
      <c r="BA73" s="34" t="n">
        <v>1543.66</v>
      </c>
      <c r="BB73" s="27" t="n">
        <v>20923.79</v>
      </c>
      <c r="BC73" s="17"/>
      <c r="BD73" s="17"/>
      <c r="BE73" s="46" t="s">
        <v>151</v>
      </c>
      <c r="BF73" s="37" t="s">
        <v>151</v>
      </c>
      <c r="BG73" s="37" t="s">
        <v>151</v>
      </c>
      <c r="BH73" s="70" t="s">
        <v>151</v>
      </c>
    </row>
    <row r="74" customFormat="false" ht="15.75" hidden="false" customHeight="true" outlineLevel="0" collapsed="false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23"/>
      <c r="P74" s="17"/>
      <c r="Q74" s="17"/>
      <c r="R74" s="17"/>
      <c r="S74" s="17"/>
      <c r="T74" s="17"/>
      <c r="U74" s="24" t="s">
        <v>42</v>
      </c>
      <c r="V74" s="25"/>
      <c r="W74" s="25" t="n">
        <v>223.06</v>
      </c>
      <c r="X74" s="27" t="n">
        <v>60184.26</v>
      </c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24" t="s">
        <v>76</v>
      </c>
      <c r="AZ74" s="25"/>
      <c r="BA74" s="25" t="n">
        <v>1</v>
      </c>
      <c r="BB74" s="27" t="n">
        <v>20922.79</v>
      </c>
      <c r="BC74" s="17"/>
      <c r="BD74" s="17"/>
      <c r="BE74" s="47" t="s">
        <v>151</v>
      </c>
      <c r="BF74" s="30" t="s">
        <v>151</v>
      </c>
      <c r="BG74" s="30" t="s">
        <v>151</v>
      </c>
      <c r="BH74" s="70" t="s">
        <v>151</v>
      </c>
    </row>
    <row r="75" customFormat="false" ht="15.75" hidden="false" customHeight="true" outlineLevel="0" collapsed="false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23"/>
      <c r="P75" s="17"/>
      <c r="Q75" s="17"/>
      <c r="R75" s="17"/>
      <c r="S75" s="17"/>
      <c r="T75" s="17"/>
      <c r="U75" s="32" t="s">
        <v>322</v>
      </c>
      <c r="V75" s="34" t="n">
        <v>1045.5</v>
      </c>
      <c r="W75" s="34"/>
      <c r="X75" s="27" t="n">
        <v>61229.76</v>
      </c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32" t="s">
        <v>120</v>
      </c>
      <c r="AZ75" s="34"/>
      <c r="BA75" s="34" t="n">
        <v>564</v>
      </c>
      <c r="BB75" s="27" t="n">
        <v>20358.79</v>
      </c>
      <c r="BC75" s="17"/>
      <c r="BD75" s="17"/>
      <c r="BE75" s="46" t="s">
        <v>151</v>
      </c>
      <c r="BF75" s="37" t="s">
        <v>151</v>
      </c>
      <c r="BG75" s="37" t="s">
        <v>151</v>
      </c>
      <c r="BH75" s="70" t="s">
        <v>151</v>
      </c>
    </row>
    <row r="76" customFormat="false" ht="15.75" hidden="false" customHeight="true" outlineLevel="0" collapsed="false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23"/>
      <c r="P76" s="17"/>
      <c r="Q76" s="17"/>
      <c r="R76" s="17"/>
      <c r="S76" s="17"/>
      <c r="T76" s="17"/>
      <c r="U76" s="24" t="s">
        <v>323</v>
      </c>
      <c r="V76" s="25"/>
      <c r="W76" s="25" t="n">
        <v>585.18</v>
      </c>
      <c r="X76" s="27" t="n">
        <v>60644.58</v>
      </c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24" t="s">
        <v>65</v>
      </c>
      <c r="AZ76" s="25"/>
      <c r="BA76" s="25" t="n">
        <v>2546.35</v>
      </c>
      <c r="BB76" s="27" t="n">
        <v>17812.44</v>
      </c>
      <c r="BC76" s="17"/>
      <c r="BD76" s="17"/>
      <c r="BE76" s="47" t="s">
        <v>151</v>
      </c>
      <c r="BF76" s="30" t="s">
        <v>151</v>
      </c>
      <c r="BG76" s="30" t="s">
        <v>151</v>
      </c>
      <c r="BH76" s="70" t="s">
        <v>151</v>
      </c>
    </row>
    <row r="77" customFormat="false" ht="15.75" hidden="false" customHeight="true" outlineLevel="0" collapsed="false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23"/>
      <c r="P77" s="17"/>
      <c r="Q77" s="17"/>
      <c r="R77" s="17"/>
      <c r="S77" s="17"/>
      <c r="T77" s="17"/>
      <c r="U77" s="63" t="s">
        <v>151</v>
      </c>
      <c r="V77" s="64" t="n">
        <v>53691.85</v>
      </c>
      <c r="W77" s="65" t="n">
        <v>45832.16</v>
      </c>
      <c r="X77" s="71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32"/>
      <c r="AZ77" s="34"/>
      <c r="BA77" s="34"/>
      <c r="BB77" s="26" t="s">
        <v>151</v>
      </c>
      <c r="BC77" s="17"/>
      <c r="BD77" s="17"/>
      <c r="BE77" s="46" t="s">
        <v>151</v>
      </c>
      <c r="BF77" s="37" t="s">
        <v>151</v>
      </c>
      <c r="BG77" s="37" t="s">
        <v>151</v>
      </c>
      <c r="BH77" s="70" t="s">
        <v>151</v>
      </c>
    </row>
    <row r="78" customFormat="false" ht="15.75" hidden="false" customHeight="true" outlineLevel="0" collapsed="false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23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68" t="s">
        <v>151</v>
      </c>
      <c r="AZ78" s="64" t="n">
        <v>40115.49</v>
      </c>
      <c r="BA78" s="65" t="n">
        <v>37731.86</v>
      </c>
      <c r="BB78" s="26" t="s">
        <v>151</v>
      </c>
      <c r="BC78" s="17"/>
      <c r="BD78" s="17"/>
      <c r="BE78" s="72" t="s">
        <v>151</v>
      </c>
      <c r="BF78" s="73" t="n">
        <v>73330.72</v>
      </c>
      <c r="BG78" s="74" t="n">
        <v>20996.87</v>
      </c>
      <c r="BH78" s="70" t="s">
        <v>151</v>
      </c>
    </row>
    <row r="79" customFormat="false" ht="15.75" hidden="false" customHeight="true" outlineLevel="0" collapsed="false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75"/>
      <c r="AZ79" s="76"/>
      <c r="BA79" s="76"/>
      <c r="BB79" s="77" t="s">
        <v>151</v>
      </c>
      <c r="BC79" s="17"/>
      <c r="BD79" s="17"/>
      <c r="BE79" s="17"/>
      <c r="BF79" s="17"/>
      <c r="BG79" s="17"/>
      <c r="BH79" s="17"/>
    </row>
    <row r="80" customFormat="false" ht="15" hidden="false" customHeight="false" outlineLevel="0" collapsed="false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</row>
    <row r="81" customFormat="false" ht="15" hidden="false" customHeight="false" outlineLevel="0" collapsed="false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</row>
    <row r="82" customFormat="false" ht="15" hidden="false" customHeight="false" outlineLevel="0" collapsed="false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</row>
    <row r="83" customFormat="false" ht="15" hidden="false" customHeight="false" outlineLevel="0" collapsed="false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</row>
    <row r="84" customFormat="false" ht="15" hidden="false" customHeight="false" outlineLevel="0" collapsed="false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</row>
    <row r="85" customFormat="false" ht="15" hidden="false" customHeight="false" outlineLevel="0" collapsed="false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</row>
    <row r="86" customFormat="false" ht="15" hidden="false" customHeight="false" outlineLevel="0" collapsed="false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</row>
    <row r="87" customFormat="false" ht="15" hidden="false" customHeight="false" outlineLevel="0" collapsed="false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</row>
    <row r="88" customFormat="false" ht="15" hidden="false" customHeight="false" outlineLevel="0" collapsed="false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</row>
    <row r="89" customFormat="false" ht="15" hidden="false" customHeight="false" outlineLevel="0" collapsed="false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</row>
    <row r="90" customFormat="false" ht="15" hidden="false" customHeight="false" outlineLevel="0" collapsed="false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</row>
    <row r="91" customFormat="false" ht="15" hidden="false" customHeight="false" outlineLevel="0" collapsed="false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</row>
    <row r="92" customFormat="false" ht="15" hidden="false" customHeight="false" outlineLevel="0" collapsed="false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</row>
    <row r="93" customFormat="false" ht="15" hidden="false" customHeight="false" outlineLevel="0" collapsed="false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</row>
    <row r="94" customFormat="false" ht="15" hidden="false" customHeight="false" outlineLevel="0" collapsed="false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</row>
    <row r="95" customFormat="false" ht="15" hidden="false" customHeight="false" outlineLevel="0" collapsed="false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</row>
    <row r="96" customFormat="false" ht="15" hidden="false" customHeight="false" outlineLevel="0" collapsed="false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</row>
    <row r="97" customFormat="false" ht="15" hidden="false" customHeight="false" outlineLevel="0" collapsed="false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</row>
    <row r="98" customFormat="false" ht="15" hidden="false" customHeight="false" outlineLevel="0" collapsed="false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</row>
    <row r="99" customFormat="false" ht="15" hidden="false" customHeight="false" outlineLevel="0" collapsed="false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68" t="s">
        <v>151</v>
      </c>
      <c r="AZ99" s="64" t="n">
        <v>68826.42</v>
      </c>
      <c r="BA99" s="65" t="n">
        <v>69860.21</v>
      </c>
      <c r="BB99" s="17"/>
      <c r="BC99" s="17"/>
      <c r="BD99" s="17"/>
      <c r="BE99" s="17"/>
      <c r="BF99" s="17"/>
      <c r="BG99" s="17"/>
      <c r="BH99" s="17"/>
    </row>
    <row r="100" customFormat="false" ht="15" hidden="false" customHeight="false" outlineLevel="0" collapsed="false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</row>
    <row r="101" customFormat="false" ht="15" hidden="false" customHeight="false" outlineLevel="0" collapsed="false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</row>
    <row r="102" customFormat="false" ht="15" hidden="false" customHeight="false" outlineLevel="0" collapsed="false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</row>
    <row r="103" customFormat="false" ht="15" hidden="false" customHeight="false" outlineLevel="0" collapsed="false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</row>
    <row r="104" customFormat="false" ht="15" hidden="false" customHeight="false" outlineLevel="0" collapsed="false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</row>
    <row r="105" customFormat="false" ht="15" hidden="false" customHeight="false" outlineLevel="0" collapsed="false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</row>
    <row r="106" customFormat="false" ht="15" hidden="false" customHeight="false" outlineLevel="0" collapsed="false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</row>
    <row r="107" customFormat="false" ht="15" hidden="false" customHeight="false" outlineLevel="0" collapsed="false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</row>
    <row r="108" customFormat="false" ht="15" hidden="false" customHeight="false" outlineLevel="0" collapsed="false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</row>
    <row r="109" customFormat="false" ht="15" hidden="false" customHeight="false" outlineLevel="0" collapsed="false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24" t="s">
        <v>96</v>
      </c>
      <c r="BA109" s="25" t="s">
        <v>151</v>
      </c>
      <c r="BB109" s="25" t="n">
        <v>42.55</v>
      </c>
      <c r="BC109" s="17"/>
      <c r="BD109" s="17"/>
      <c r="BE109" s="17"/>
      <c r="BF109" s="17"/>
      <c r="BG109" s="17"/>
      <c r="BH109" s="17"/>
    </row>
    <row r="110" customFormat="false" ht="15" hidden="false" customHeight="false" outlineLevel="0" collapsed="false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46" t="s">
        <v>101</v>
      </c>
      <c r="BA110" s="37" t="s">
        <v>151</v>
      </c>
      <c r="BB110" s="37" t="n">
        <v>62.26</v>
      </c>
      <c r="BC110" s="17"/>
      <c r="BD110" s="17"/>
      <c r="BE110" s="17"/>
      <c r="BF110" s="17"/>
      <c r="BG110" s="17"/>
      <c r="BH110" s="17"/>
    </row>
    <row r="111" customFormat="false" ht="15" hidden="false" customHeight="false" outlineLevel="0" collapsed="false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47" t="s">
        <v>96</v>
      </c>
      <c r="BA111" s="30" t="s">
        <v>151</v>
      </c>
      <c r="BB111" s="30" t="n">
        <v>39.1</v>
      </c>
      <c r="BC111" s="17"/>
      <c r="BD111" s="17"/>
      <c r="BE111" s="17"/>
      <c r="BF111" s="17"/>
      <c r="BG111" s="17"/>
      <c r="BH111" s="17"/>
    </row>
    <row r="112" customFormat="false" ht="15" hidden="false" customHeight="false" outlineLevel="0" collapsed="false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46" t="s">
        <v>96</v>
      </c>
      <c r="BA112" s="37" t="s">
        <v>151</v>
      </c>
      <c r="BB112" s="37" t="n">
        <v>542.95</v>
      </c>
      <c r="BC112" s="17"/>
      <c r="BD112" s="17"/>
      <c r="BE112" s="17"/>
      <c r="BF112" s="17"/>
      <c r="BG112" s="17"/>
      <c r="BH112" s="17"/>
    </row>
    <row r="113" customFormat="false" ht="15" hidden="false" customHeight="false" outlineLevel="0" collapsed="false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46" t="s">
        <v>103</v>
      </c>
      <c r="BA113" s="37" t="s">
        <v>151</v>
      </c>
      <c r="BB113" s="37" t="n">
        <v>40</v>
      </c>
      <c r="BC113" s="17"/>
      <c r="BD113" s="17"/>
      <c r="BE113" s="17"/>
      <c r="BF113" s="17"/>
      <c r="BG113" s="17"/>
      <c r="BH113" s="17"/>
    </row>
    <row r="114" customFormat="false" ht="15" hidden="false" customHeight="false" outlineLevel="0" collapsed="false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46" t="s">
        <v>57</v>
      </c>
      <c r="BA114" s="37" t="s">
        <v>151</v>
      </c>
      <c r="BB114" s="37" t="n">
        <v>7.32</v>
      </c>
      <c r="BC114" s="17"/>
      <c r="BD114" s="17"/>
      <c r="BE114" s="17"/>
      <c r="BF114" s="17"/>
      <c r="BG114" s="17"/>
      <c r="BH114" s="17"/>
    </row>
    <row r="115" customFormat="false" ht="15" hidden="false" customHeight="false" outlineLevel="0" collapsed="false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47" t="s">
        <v>57</v>
      </c>
      <c r="BA115" s="30" t="s">
        <v>151</v>
      </c>
      <c r="BB115" s="30" t="n">
        <v>14.46</v>
      </c>
      <c r="BC115" s="17"/>
      <c r="BD115" s="17"/>
      <c r="BE115" s="17"/>
      <c r="BF115" s="17"/>
      <c r="BG115" s="17"/>
      <c r="BH115" s="17"/>
    </row>
    <row r="116" customFormat="false" ht="15" hidden="false" customHeight="false" outlineLevel="0" collapsed="false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46" t="s">
        <v>57</v>
      </c>
      <c r="BA116" s="37" t="s">
        <v>151</v>
      </c>
      <c r="BB116" s="37" t="n">
        <v>111.39</v>
      </c>
      <c r="BC116" s="17"/>
      <c r="BD116" s="17"/>
      <c r="BE116" s="17"/>
      <c r="BF116" s="17"/>
      <c r="BG116" s="17"/>
      <c r="BH116" s="17"/>
    </row>
    <row r="117" customFormat="false" ht="15" hidden="false" customHeight="false" outlineLevel="0" collapsed="false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46" t="s">
        <v>106</v>
      </c>
      <c r="BA117" s="37" t="s">
        <v>151</v>
      </c>
      <c r="BB117" s="37" t="n">
        <v>1890</v>
      </c>
      <c r="BC117" s="17"/>
      <c r="BD117" s="17"/>
      <c r="BE117" s="17"/>
      <c r="BF117" s="17"/>
      <c r="BG117" s="17"/>
      <c r="BH117" s="17"/>
    </row>
    <row r="118" customFormat="false" ht="15" hidden="false" customHeight="false" outlineLevel="0" collapsed="false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47" t="s">
        <v>57</v>
      </c>
      <c r="BA118" s="30" t="s">
        <v>151</v>
      </c>
      <c r="BB118" s="30" t="n">
        <v>7.32</v>
      </c>
      <c r="BC118" s="17"/>
      <c r="BD118" s="17"/>
      <c r="BE118" s="17"/>
      <c r="BF118" s="17"/>
      <c r="BG118" s="17"/>
      <c r="BH118" s="17"/>
    </row>
    <row r="119" customFormat="false" ht="15" hidden="false" customHeight="false" outlineLevel="0" collapsed="false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46" t="s">
        <v>57</v>
      </c>
      <c r="BA119" s="37" t="s">
        <v>151</v>
      </c>
      <c r="BB119" s="37" t="n">
        <v>11.22</v>
      </c>
      <c r="BC119" s="17"/>
      <c r="BD119" s="17"/>
      <c r="BE119" s="17"/>
      <c r="BF119" s="17"/>
      <c r="BG119" s="17"/>
      <c r="BH119" s="17"/>
    </row>
    <row r="120" customFormat="false" ht="15" hidden="false" customHeight="false" outlineLevel="0" collapsed="false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47" t="s">
        <v>57</v>
      </c>
      <c r="BA120" s="30" t="s">
        <v>151</v>
      </c>
      <c r="BB120" s="30" t="n">
        <v>10.53</v>
      </c>
      <c r="BC120" s="17"/>
      <c r="BD120" s="17"/>
      <c r="BE120" s="17"/>
      <c r="BF120" s="17"/>
      <c r="BG120" s="17"/>
      <c r="BH120" s="17"/>
    </row>
    <row r="121" customFormat="false" ht="15" hidden="false" customHeight="false" outlineLevel="0" collapsed="false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46" t="s">
        <v>112</v>
      </c>
      <c r="BA121" s="37" t="s">
        <v>151</v>
      </c>
      <c r="BB121" s="37" t="n">
        <v>226.02</v>
      </c>
      <c r="BC121" s="17"/>
      <c r="BD121" s="17"/>
      <c r="BE121" s="17"/>
      <c r="BF121" s="17"/>
      <c r="BG121" s="17"/>
      <c r="BH121" s="17"/>
    </row>
    <row r="122" customFormat="false" ht="15" hidden="false" customHeight="false" outlineLevel="0" collapsed="false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32" t="s">
        <v>313</v>
      </c>
      <c r="BA122" s="57"/>
      <c r="BB122" s="37" t="n">
        <v>11.43</v>
      </c>
      <c r="BC122" s="17"/>
      <c r="BD122" s="17"/>
      <c r="BE122" s="17"/>
      <c r="BF122" s="17"/>
      <c r="BG122" s="17"/>
      <c r="BH122" s="17"/>
    </row>
    <row r="123" customFormat="false" ht="15" hidden="false" customHeight="false" outlineLevel="0" collapsed="false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24" t="s">
        <v>117</v>
      </c>
      <c r="BA123" s="58"/>
      <c r="BB123" s="30" t="n">
        <v>976.43</v>
      </c>
      <c r="BC123" s="17"/>
      <c r="BD123" s="17"/>
      <c r="BE123" s="17"/>
      <c r="BF123" s="17"/>
      <c r="BG123" s="17"/>
      <c r="BH123" s="1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81"/>
  <sheetViews>
    <sheetView showFormulas="false" showGridLines="true" showRowColHeaders="true" showZeros="true" rightToLeft="false" tabSelected="false" showOutlineSymbols="true" defaultGridColor="true" view="normal" topLeftCell="L38" colorId="64" zoomScale="100" zoomScaleNormal="100" zoomScalePageLayoutView="100" workbookViewId="0">
      <selection pane="topLeft" activeCell="C52" activeCellId="0" sqref="C52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</row>
    <row r="2" customFormat="false" ht="15" hidden="false" customHeight="false" outlineLevel="0" collapsed="false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69"/>
      <c r="AT2" s="69"/>
      <c r="AU2" s="69"/>
      <c r="AV2" s="69"/>
      <c r="AW2" s="69"/>
      <c r="AX2" s="69"/>
      <c r="AY2" s="69"/>
    </row>
    <row r="3" customFormat="false" ht="15" hidden="false" customHeight="false" outlineLevel="0" collapsed="false">
      <c r="A3" s="69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69"/>
      <c r="AV3" s="69"/>
      <c r="AW3" s="69"/>
      <c r="AX3" s="69"/>
      <c r="AY3" s="69"/>
    </row>
    <row r="4" customFormat="false" ht="15" hidden="false" customHeight="false" outlineLevel="0" collapsed="false">
      <c r="A4" s="69"/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69"/>
      <c r="AP4" s="69"/>
      <c r="AQ4" s="69"/>
      <c r="AR4" s="69"/>
      <c r="AS4" s="69"/>
      <c r="AT4" s="69"/>
      <c r="AU4" s="69"/>
      <c r="AV4" s="69"/>
      <c r="AW4" s="69"/>
      <c r="AX4" s="69"/>
      <c r="AY4" s="69"/>
    </row>
    <row r="5" customFormat="false" ht="20.25" hidden="false" customHeight="true" outlineLevel="0" collapsed="false">
      <c r="A5" s="69"/>
      <c r="B5" s="69" t="s">
        <v>324</v>
      </c>
      <c r="C5" s="69"/>
      <c r="D5" s="69"/>
      <c r="E5" s="69"/>
      <c r="F5" s="69"/>
      <c r="G5" s="69"/>
      <c r="H5" s="69" t="s">
        <v>325</v>
      </c>
      <c r="I5" s="69"/>
      <c r="J5" s="69"/>
      <c r="K5" s="69"/>
      <c r="L5" s="69"/>
      <c r="M5" s="69"/>
      <c r="N5" s="78" t="s">
        <v>326</v>
      </c>
      <c r="O5" s="78"/>
      <c r="P5" s="78"/>
      <c r="Q5" s="78"/>
      <c r="R5" s="78"/>
      <c r="S5" s="78"/>
      <c r="T5" s="78" t="s">
        <v>153</v>
      </c>
      <c r="U5" s="78"/>
      <c r="V5" s="78"/>
      <c r="W5" s="78"/>
      <c r="X5" s="78"/>
      <c r="Y5" s="78"/>
      <c r="Z5" s="78" t="s">
        <v>152</v>
      </c>
      <c r="AA5" s="69"/>
      <c r="AB5" s="69"/>
      <c r="AC5" s="69"/>
      <c r="AD5" s="69"/>
      <c r="AE5" s="69"/>
      <c r="AF5" s="78" t="s">
        <v>327</v>
      </c>
      <c r="AG5" s="69"/>
      <c r="AH5" s="69"/>
      <c r="AI5" s="69"/>
      <c r="AJ5" s="69"/>
      <c r="AK5" s="69"/>
      <c r="AL5" s="78" t="s">
        <v>156</v>
      </c>
      <c r="AM5" s="69"/>
      <c r="AN5" s="69"/>
      <c r="AO5" s="69"/>
      <c r="AP5" s="69"/>
      <c r="AQ5" s="69"/>
      <c r="AR5" s="78" t="s">
        <v>159</v>
      </c>
      <c r="AS5" s="69"/>
      <c r="AT5" s="69"/>
      <c r="AU5" s="69"/>
      <c r="AV5" s="69"/>
      <c r="AW5" s="69"/>
      <c r="AX5" s="69"/>
      <c r="AY5" s="69"/>
    </row>
    <row r="6" customFormat="false" ht="15.75" hidden="false" customHeight="true" outlineLevel="0" collapsed="false">
      <c r="A6" s="69"/>
      <c r="B6" s="24" t="s">
        <v>96</v>
      </c>
      <c r="C6" s="25" t="s">
        <v>151</v>
      </c>
      <c r="D6" s="25" t="n">
        <v>42.55</v>
      </c>
      <c r="E6" s="23" t="s">
        <v>328</v>
      </c>
      <c r="F6" s="23"/>
      <c r="G6" s="69"/>
      <c r="H6" s="24" t="s">
        <v>91</v>
      </c>
      <c r="I6" s="58"/>
      <c r="J6" s="25" t="n">
        <v>365.27</v>
      </c>
      <c r="K6" s="17" t="s">
        <v>329</v>
      </c>
      <c r="L6" s="17"/>
      <c r="M6" s="69"/>
      <c r="N6" s="20" t="s">
        <v>160</v>
      </c>
      <c r="O6" s="21" t="s">
        <v>161</v>
      </c>
      <c r="P6" s="21" t="s">
        <v>162</v>
      </c>
      <c r="Q6" s="79" t="s">
        <v>330</v>
      </c>
      <c r="R6" s="69"/>
      <c r="S6" s="69"/>
      <c r="T6" s="20" t="s">
        <v>160</v>
      </c>
      <c r="U6" s="21" t="s">
        <v>161</v>
      </c>
      <c r="V6" s="21" t="s">
        <v>162</v>
      </c>
      <c r="W6" s="79" t="s">
        <v>330</v>
      </c>
      <c r="X6" s="69"/>
      <c r="Y6" s="69"/>
      <c r="Z6" s="20" t="s">
        <v>160</v>
      </c>
      <c r="AA6" s="21" t="s">
        <v>161</v>
      </c>
      <c r="AB6" s="21" t="s">
        <v>162</v>
      </c>
      <c r="AC6" s="79" t="s">
        <v>330</v>
      </c>
      <c r="AD6" s="69"/>
      <c r="AE6" s="69"/>
      <c r="AF6" s="20" t="s">
        <v>160</v>
      </c>
      <c r="AG6" s="21" t="s">
        <v>161</v>
      </c>
      <c r="AH6" s="21" t="s">
        <v>162</v>
      </c>
      <c r="AI6" s="79" t="s">
        <v>330</v>
      </c>
      <c r="AJ6" s="69"/>
      <c r="AK6" s="69"/>
      <c r="AL6" s="20" t="s">
        <v>160</v>
      </c>
      <c r="AM6" s="21" t="s">
        <v>161</v>
      </c>
      <c r="AN6" s="21" t="s">
        <v>162</v>
      </c>
      <c r="AO6" s="79" t="s">
        <v>330</v>
      </c>
      <c r="AP6" s="69"/>
      <c r="AQ6" s="69"/>
      <c r="AR6" s="20" t="s">
        <v>160</v>
      </c>
      <c r="AS6" s="21" t="s">
        <v>161</v>
      </c>
      <c r="AT6" s="21" t="s">
        <v>162</v>
      </c>
      <c r="AU6" s="79" t="s">
        <v>330</v>
      </c>
      <c r="AV6" s="79" t="s">
        <v>331</v>
      </c>
      <c r="AW6" s="69"/>
      <c r="AX6" s="69"/>
      <c r="AY6" s="69"/>
    </row>
    <row r="7" customFormat="false" ht="30.75" hidden="false" customHeight="true" outlineLevel="0" collapsed="false">
      <c r="A7" s="69"/>
      <c r="B7" s="46" t="s">
        <v>101</v>
      </c>
      <c r="C7" s="37" t="s">
        <v>151</v>
      </c>
      <c r="D7" s="37" t="n">
        <v>62.26</v>
      </c>
      <c r="E7" s="23" t="s">
        <v>328</v>
      </c>
      <c r="F7" s="23"/>
      <c r="G7" s="69"/>
      <c r="H7" s="69"/>
      <c r="I7" s="69"/>
      <c r="J7" s="69"/>
      <c r="K7" s="69"/>
      <c r="L7" s="69"/>
      <c r="M7" s="69"/>
      <c r="N7" s="29" t="s">
        <v>94</v>
      </c>
      <c r="O7" s="30" t="s">
        <v>151</v>
      </c>
      <c r="P7" s="30" t="n">
        <v>200</v>
      </c>
      <c r="Q7" s="69" t="s">
        <v>332</v>
      </c>
      <c r="R7" s="69"/>
      <c r="S7" s="69"/>
      <c r="T7" s="29" t="s">
        <v>70</v>
      </c>
      <c r="U7" s="30" t="n">
        <v>1000</v>
      </c>
      <c r="V7" s="30" t="s">
        <v>151</v>
      </c>
      <c r="W7" s="69" t="s">
        <v>333</v>
      </c>
      <c r="X7" s="69"/>
      <c r="Y7" s="69"/>
      <c r="Z7" s="29" t="s">
        <v>36</v>
      </c>
      <c r="AA7" s="30" t="s">
        <v>151</v>
      </c>
      <c r="AB7" s="30" t="n">
        <v>9.96</v>
      </c>
      <c r="AC7" s="69" t="s">
        <v>333</v>
      </c>
      <c r="AD7" s="69"/>
      <c r="AE7" s="69"/>
      <c r="AF7" s="29" t="s">
        <v>36</v>
      </c>
      <c r="AG7" s="30" t="s">
        <v>151</v>
      </c>
      <c r="AH7" s="30" t="n">
        <v>9.96</v>
      </c>
      <c r="AI7" s="69" t="s">
        <v>332</v>
      </c>
      <c r="AJ7" s="69"/>
      <c r="AK7" s="69"/>
      <c r="AL7" s="47" t="s">
        <v>167</v>
      </c>
      <c r="AM7" s="30" t="s">
        <v>151</v>
      </c>
      <c r="AN7" s="30" t="n">
        <v>13.36</v>
      </c>
      <c r="AO7" s="69" t="s">
        <v>334</v>
      </c>
      <c r="AP7" s="69"/>
      <c r="AQ7" s="69"/>
      <c r="AR7" s="29" t="s">
        <v>122</v>
      </c>
      <c r="AS7" s="30" t="s">
        <v>151</v>
      </c>
      <c r="AT7" s="30" t="n">
        <v>1250</v>
      </c>
      <c r="AU7" s="69" t="s">
        <v>335</v>
      </c>
      <c r="AV7" s="69"/>
      <c r="AW7" s="69"/>
      <c r="AX7" s="69"/>
      <c r="AY7" s="69"/>
    </row>
    <row r="8" customFormat="false" ht="20.25" hidden="false" customHeight="true" outlineLevel="0" collapsed="false">
      <c r="A8" s="69"/>
      <c r="B8" s="47" t="s">
        <v>96</v>
      </c>
      <c r="C8" s="30" t="s">
        <v>151</v>
      </c>
      <c r="D8" s="30" t="n">
        <v>39.1</v>
      </c>
      <c r="E8" s="23" t="s">
        <v>328</v>
      </c>
      <c r="F8" s="23"/>
      <c r="G8" s="69"/>
      <c r="H8" s="69"/>
      <c r="I8" s="69"/>
      <c r="J8" s="69"/>
      <c r="K8" s="69"/>
      <c r="L8" s="69"/>
      <c r="M8" s="69"/>
      <c r="N8" s="36" t="s">
        <v>94</v>
      </c>
      <c r="O8" s="37" t="s">
        <v>151</v>
      </c>
      <c r="P8" s="37" t="n">
        <v>200</v>
      </c>
      <c r="Q8" s="69" t="s">
        <v>332</v>
      </c>
      <c r="R8" s="69"/>
      <c r="S8" s="69"/>
      <c r="T8" s="32" t="s">
        <v>68</v>
      </c>
      <c r="U8" s="57"/>
      <c r="V8" s="37" t="n">
        <v>137</v>
      </c>
      <c r="W8" s="69" t="s">
        <v>333</v>
      </c>
      <c r="X8" s="69"/>
      <c r="Y8" s="69"/>
      <c r="Z8" s="46" t="s">
        <v>37</v>
      </c>
      <c r="AA8" s="37" t="s">
        <v>151</v>
      </c>
      <c r="AB8" s="37" t="n">
        <v>3133.8</v>
      </c>
      <c r="AC8" s="69" t="s">
        <v>333</v>
      </c>
      <c r="AD8" s="69"/>
      <c r="AE8" s="69"/>
      <c r="AF8" s="46" t="s">
        <v>171</v>
      </c>
      <c r="AG8" s="37" t="s">
        <v>151</v>
      </c>
      <c r="AH8" s="37" t="n">
        <v>246</v>
      </c>
      <c r="AI8" s="69" t="s">
        <v>332</v>
      </c>
      <c r="AJ8" s="69"/>
      <c r="AK8" s="69"/>
      <c r="AL8" s="32" t="s">
        <v>170</v>
      </c>
      <c r="AM8" s="57"/>
      <c r="AN8" s="37" t="n">
        <v>233.36</v>
      </c>
      <c r="AO8" s="69" t="s">
        <v>332</v>
      </c>
      <c r="AP8" s="69"/>
      <c r="AQ8" s="69"/>
      <c r="AR8" s="36" t="s">
        <v>123</v>
      </c>
      <c r="AS8" s="37" t="s">
        <v>151</v>
      </c>
      <c r="AT8" s="37" t="n">
        <v>1250</v>
      </c>
      <c r="AU8" s="69" t="s">
        <v>335</v>
      </c>
      <c r="AV8" s="69"/>
      <c r="AW8" s="69"/>
      <c r="AX8" s="69"/>
      <c r="AY8" s="69"/>
    </row>
    <row r="9" customFormat="false" ht="30.75" hidden="false" customHeight="true" outlineLevel="0" collapsed="false">
      <c r="A9" s="69"/>
      <c r="B9" s="46" t="s">
        <v>96</v>
      </c>
      <c r="C9" s="37" t="s">
        <v>151</v>
      </c>
      <c r="D9" s="37" t="n">
        <v>542.95</v>
      </c>
      <c r="E9" s="23" t="s">
        <v>328</v>
      </c>
      <c r="F9" s="23"/>
      <c r="G9" s="69"/>
      <c r="H9" s="69"/>
      <c r="I9" s="69"/>
      <c r="J9" s="69"/>
      <c r="K9" s="69"/>
      <c r="L9" s="69"/>
      <c r="M9" s="69"/>
      <c r="N9" s="29" t="s">
        <v>94</v>
      </c>
      <c r="O9" s="30" t="s">
        <v>151</v>
      </c>
      <c r="P9" s="30" t="n">
        <v>200</v>
      </c>
      <c r="Q9" s="69" t="s">
        <v>332</v>
      </c>
      <c r="R9" s="69"/>
      <c r="S9" s="69"/>
      <c r="T9" s="24" t="s">
        <v>36</v>
      </c>
      <c r="U9" s="58"/>
      <c r="V9" s="30" t="n">
        <v>9.96</v>
      </c>
      <c r="W9" s="69" t="s">
        <v>333</v>
      </c>
      <c r="X9" s="69"/>
      <c r="Y9" s="69"/>
      <c r="Z9" s="47" t="s">
        <v>38</v>
      </c>
      <c r="AA9" s="30" t="n">
        <v>3678.93</v>
      </c>
      <c r="AB9" s="30" t="s">
        <v>151</v>
      </c>
      <c r="AC9" s="69" t="s">
        <v>333</v>
      </c>
      <c r="AD9" s="69"/>
      <c r="AE9" s="69"/>
      <c r="AF9" s="47" t="s">
        <v>54</v>
      </c>
      <c r="AG9" s="30" t="s">
        <v>151</v>
      </c>
      <c r="AH9" s="30" t="n">
        <v>590.49</v>
      </c>
      <c r="AI9" s="69" t="s">
        <v>332</v>
      </c>
      <c r="AJ9" s="69"/>
      <c r="AK9" s="69"/>
      <c r="AL9" s="47" t="s">
        <v>169</v>
      </c>
      <c r="AM9" s="30" t="s">
        <v>151</v>
      </c>
      <c r="AN9" s="30" t="n">
        <v>9.96</v>
      </c>
      <c r="AO9" s="69" t="s">
        <v>332</v>
      </c>
      <c r="AP9" s="69"/>
      <c r="AQ9" s="69"/>
      <c r="AR9" s="29" t="s">
        <v>176</v>
      </c>
      <c r="AS9" s="30" t="s">
        <v>151</v>
      </c>
      <c r="AT9" s="30" t="n">
        <v>48</v>
      </c>
      <c r="AU9" s="69" t="s">
        <v>335</v>
      </c>
      <c r="AV9" s="69"/>
      <c r="AW9" s="69"/>
      <c r="AX9" s="69"/>
      <c r="AY9" s="69"/>
    </row>
    <row r="10" customFormat="false" ht="20.25" hidden="false" customHeight="true" outlineLevel="0" collapsed="false">
      <c r="A10" s="69"/>
      <c r="B10" s="32" t="s">
        <v>103</v>
      </c>
      <c r="C10" s="57"/>
      <c r="D10" s="37" t="n">
        <v>40</v>
      </c>
      <c r="E10" s="23" t="s">
        <v>336</v>
      </c>
      <c r="F10" s="69"/>
      <c r="G10" s="69"/>
      <c r="H10" s="69"/>
      <c r="I10" s="69"/>
      <c r="J10" s="69"/>
      <c r="K10" s="69"/>
      <c r="L10" s="69"/>
      <c r="M10" s="69"/>
      <c r="N10" s="36" t="s">
        <v>94</v>
      </c>
      <c r="O10" s="37" t="s">
        <v>151</v>
      </c>
      <c r="P10" s="37" t="n">
        <v>200</v>
      </c>
      <c r="Q10" s="69" t="s">
        <v>332</v>
      </c>
      <c r="R10" s="69"/>
      <c r="S10" s="69"/>
      <c r="T10" s="46" t="s">
        <v>70</v>
      </c>
      <c r="U10" s="37" t="n">
        <v>845</v>
      </c>
      <c r="V10" s="37" t="s">
        <v>151</v>
      </c>
      <c r="W10" s="69" t="s">
        <v>333</v>
      </c>
      <c r="X10" s="69"/>
      <c r="Y10" s="69"/>
      <c r="Z10" s="46" t="s">
        <v>39</v>
      </c>
      <c r="AA10" s="37" t="s">
        <v>151</v>
      </c>
      <c r="AB10" s="37" t="n">
        <v>246</v>
      </c>
      <c r="AC10" s="69" t="s">
        <v>333</v>
      </c>
      <c r="AD10" s="69"/>
      <c r="AE10" s="69"/>
      <c r="AF10" s="46" t="n">
        <v>515151</v>
      </c>
      <c r="AG10" s="37" t="n">
        <v>49999.87</v>
      </c>
      <c r="AH10" s="37" t="s">
        <v>151</v>
      </c>
      <c r="AI10" s="69" t="s">
        <v>332</v>
      </c>
      <c r="AJ10" s="69"/>
      <c r="AK10" s="69"/>
      <c r="AL10" s="32" t="s">
        <v>180</v>
      </c>
      <c r="AM10" s="57"/>
      <c r="AN10" s="37" t="n">
        <v>248.28</v>
      </c>
      <c r="AO10" s="69" t="s">
        <v>332</v>
      </c>
      <c r="AP10" s="69"/>
      <c r="AQ10" s="69"/>
      <c r="AR10" s="80" t="s">
        <v>125</v>
      </c>
      <c r="AS10" s="37" t="s">
        <v>151</v>
      </c>
      <c r="AT10" s="37" t="n">
        <v>9.96</v>
      </c>
      <c r="AU10" s="69" t="s">
        <v>332</v>
      </c>
      <c r="AV10" s="69" t="s">
        <v>332</v>
      </c>
      <c r="AW10" s="69"/>
      <c r="AX10" s="69"/>
      <c r="AY10" s="69"/>
    </row>
    <row r="11" customFormat="false" ht="20.25" hidden="false" customHeight="true" outlineLevel="0" collapsed="false">
      <c r="A11" s="69"/>
      <c r="B11" s="32" t="s">
        <v>57</v>
      </c>
      <c r="C11" s="57"/>
      <c r="D11" s="37" t="n">
        <v>7.32</v>
      </c>
      <c r="E11" s="23" t="s">
        <v>328</v>
      </c>
      <c r="F11" s="23"/>
      <c r="G11" s="69"/>
      <c r="H11" s="69"/>
      <c r="I11" s="69"/>
      <c r="J11" s="69"/>
      <c r="K11" s="69"/>
      <c r="L11" s="69"/>
      <c r="M11" s="69"/>
      <c r="N11" s="29" t="s">
        <v>94</v>
      </c>
      <c r="O11" s="30" t="s">
        <v>151</v>
      </c>
      <c r="P11" s="30" t="n">
        <v>200</v>
      </c>
      <c r="Q11" s="69" t="s">
        <v>332</v>
      </c>
      <c r="R11" s="69"/>
      <c r="S11" s="69"/>
      <c r="T11" s="24" t="s">
        <v>71</v>
      </c>
      <c r="U11" s="58"/>
      <c r="V11" s="30" t="n">
        <v>51</v>
      </c>
      <c r="W11" s="69" t="s">
        <v>333</v>
      </c>
      <c r="X11" s="69"/>
      <c r="Y11" s="69"/>
      <c r="Z11" s="47" t="s">
        <v>40</v>
      </c>
      <c r="AA11" s="30" t="s">
        <v>151</v>
      </c>
      <c r="AB11" s="30" t="n">
        <v>50</v>
      </c>
      <c r="AC11" s="69" t="s">
        <v>333</v>
      </c>
      <c r="AD11" s="69"/>
      <c r="AE11" s="69"/>
      <c r="AF11" s="47" t="s">
        <v>184</v>
      </c>
      <c r="AG11" s="30" t="s">
        <v>151</v>
      </c>
      <c r="AH11" s="30" t="n">
        <v>1826.29</v>
      </c>
      <c r="AI11" s="69" t="s">
        <v>332</v>
      </c>
      <c r="AJ11" s="69"/>
      <c r="AK11" s="69"/>
      <c r="AL11" s="47" t="s">
        <v>183</v>
      </c>
      <c r="AM11" s="30" t="s">
        <v>151</v>
      </c>
      <c r="AN11" s="30" t="n">
        <v>114.65</v>
      </c>
      <c r="AO11" s="69" t="s">
        <v>332</v>
      </c>
      <c r="AP11" s="69"/>
      <c r="AQ11" s="69"/>
      <c r="AR11" s="80" t="s">
        <v>126</v>
      </c>
      <c r="AS11" s="30" t="s">
        <v>151</v>
      </c>
      <c r="AT11" s="30" t="n">
        <v>134.39</v>
      </c>
      <c r="AU11" s="69" t="s">
        <v>332</v>
      </c>
      <c r="AV11" s="69" t="s">
        <v>332</v>
      </c>
      <c r="AW11" s="69"/>
      <c r="AX11" s="69"/>
      <c r="AY11" s="69"/>
    </row>
    <row r="12" customFormat="false" ht="15" hidden="false" customHeight="false" outlineLevel="0" collapsed="false">
      <c r="A12" s="69"/>
      <c r="B12" s="24" t="s">
        <v>57</v>
      </c>
      <c r="C12" s="58"/>
      <c r="D12" s="30" t="n">
        <v>14.46</v>
      </c>
      <c r="E12" s="23" t="s">
        <v>328</v>
      </c>
      <c r="F12" s="23"/>
      <c r="G12" s="69"/>
      <c r="H12" s="69"/>
      <c r="I12" s="69"/>
      <c r="J12" s="69"/>
      <c r="K12" s="69"/>
      <c r="L12" s="69"/>
      <c r="M12" s="69"/>
      <c r="N12" s="36" t="s">
        <v>94</v>
      </c>
      <c r="O12" s="37" t="s">
        <v>151</v>
      </c>
      <c r="P12" s="37" t="n">
        <v>200</v>
      </c>
      <c r="Q12" s="69" t="s">
        <v>332</v>
      </c>
      <c r="R12" s="69"/>
      <c r="S12" s="69"/>
      <c r="T12" s="46" t="s">
        <v>72</v>
      </c>
      <c r="U12" s="37" t="s">
        <v>151</v>
      </c>
      <c r="V12" s="37" t="n">
        <v>3690</v>
      </c>
      <c r="W12" s="69" t="s">
        <v>333</v>
      </c>
      <c r="X12" s="69"/>
      <c r="Y12" s="69"/>
      <c r="Z12" s="46" t="s">
        <v>40</v>
      </c>
      <c r="AA12" s="37" t="s">
        <v>151</v>
      </c>
      <c r="AB12" s="37" t="n">
        <v>529.56</v>
      </c>
      <c r="AC12" s="69" t="s">
        <v>333</v>
      </c>
      <c r="AD12" s="69"/>
      <c r="AE12" s="69"/>
      <c r="AF12" s="46" t="s">
        <v>189</v>
      </c>
      <c r="AG12" s="37" t="s">
        <v>151</v>
      </c>
      <c r="AH12" s="81" t="n">
        <v>379.99</v>
      </c>
      <c r="AI12" s="69"/>
      <c r="AJ12" s="69"/>
      <c r="AK12" s="69"/>
      <c r="AL12" s="46" t="s">
        <v>167</v>
      </c>
      <c r="AM12" s="37" t="s">
        <v>151</v>
      </c>
      <c r="AN12" s="37" t="n">
        <v>416.29</v>
      </c>
      <c r="AO12" s="69" t="s">
        <v>332</v>
      </c>
      <c r="AP12" s="69"/>
      <c r="AQ12" s="69"/>
      <c r="AR12" s="80" t="s">
        <v>127</v>
      </c>
      <c r="AS12" s="37" t="s">
        <v>151</v>
      </c>
      <c r="AT12" s="37" t="n">
        <v>526.54</v>
      </c>
      <c r="AU12" s="69" t="s">
        <v>332</v>
      </c>
      <c r="AV12" s="69" t="s">
        <v>332</v>
      </c>
      <c r="AW12" s="69"/>
      <c r="AX12" s="69"/>
      <c r="AY12" s="69"/>
    </row>
    <row r="13" customFormat="false" ht="15" hidden="false" customHeight="false" outlineLevel="0" collapsed="false">
      <c r="A13" s="69"/>
      <c r="B13" s="32" t="s">
        <v>57</v>
      </c>
      <c r="C13" s="57"/>
      <c r="D13" s="37" t="n">
        <v>111.39</v>
      </c>
      <c r="E13" s="23" t="s">
        <v>328</v>
      </c>
      <c r="F13" s="23"/>
      <c r="G13" s="69"/>
      <c r="H13" s="69"/>
      <c r="I13" s="69"/>
      <c r="J13" s="69"/>
      <c r="K13" s="69"/>
      <c r="L13" s="69"/>
      <c r="M13" s="69"/>
      <c r="N13" s="29" t="s">
        <v>94</v>
      </c>
      <c r="O13" s="30" t="s">
        <v>151</v>
      </c>
      <c r="P13" s="30" t="n">
        <v>200</v>
      </c>
      <c r="Q13" s="69" t="s">
        <v>332</v>
      </c>
      <c r="R13" s="69"/>
      <c r="S13" s="69"/>
      <c r="T13" s="24" t="s">
        <v>73</v>
      </c>
      <c r="U13" s="58"/>
      <c r="V13" s="30" t="n">
        <v>724.97</v>
      </c>
      <c r="W13" s="69" t="s">
        <v>333</v>
      </c>
      <c r="X13" s="69"/>
      <c r="Y13" s="69"/>
      <c r="Z13" s="47" t="s">
        <v>40</v>
      </c>
      <c r="AA13" s="30" t="s">
        <v>151</v>
      </c>
      <c r="AB13" s="30" t="n">
        <v>529.56</v>
      </c>
      <c r="AC13" s="69" t="s">
        <v>333</v>
      </c>
      <c r="AD13" s="69"/>
      <c r="AE13" s="69"/>
      <c r="AF13" s="47" t="s">
        <v>194</v>
      </c>
      <c r="AG13" s="30" t="s">
        <v>151</v>
      </c>
      <c r="AH13" s="30" t="n">
        <v>24.5</v>
      </c>
      <c r="AI13" s="69"/>
      <c r="AJ13" s="69"/>
      <c r="AK13" s="69"/>
      <c r="AL13" s="24" t="s">
        <v>193</v>
      </c>
      <c r="AM13" s="58"/>
      <c r="AN13" s="30" t="n">
        <v>10</v>
      </c>
      <c r="AO13" s="69" t="s">
        <v>332</v>
      </c>
      <c r="AP13" s="69"/>
      <c r="AQ13" s="69"/>
      <c r="AR13" s="80" t="s">
        <v>128</v>
      </c>
      <c r="AS13" s="30" t="s">
        <v>151</v>
      </c>
      <c r="AT13" s="30" t="n">
        <v>360</v>
      </c>
      <c r="AU13" s="69" t="s">
        <v>328</v>
      </c>
      <c r="AV13" s="82" t="n">
        <v>46210</v>
      </c>
      <c r="AW13" s="69"/>
      <c r="AX13" s="69"/>
      <c r="AY13" s="69"/>
    </row>
    <row r="14" customFormat="false" ht="15" hidden="false" customHeight="false" outlineLevel="0" collapsed="false">
      <c r="A14" s="69"/>
      <c r="B14" s="32" t="s">
        <v>106</v>
      </c>
      <c r="C14" s="57"/>
      <c r="D14" s="37" t="n">
        <v>1890</v>
      </c>
      <c r="E14" s="23" t="s">
        <v>337</v>
      </c>
      <c r="F14" s="23"/>
      <c r="G14" s="69"/>
      <c r="H14" s="69"/>
      <c r="I14" s="69"/>
      <c r="J14" s="69"/>
      <c r="K14" s="69"/>
      <c r="L14" s="69"/>
      <c r="M14" s="69"/>
      <c r="N14" s="36" t="s">
        <v>94</v>
      </c>
      <c r="O14" s="37" t="s">
        <v>151</v>
      </c>
      <c r="P14" s="37" t="n">
        <v>200</v>
      </c>
      <c r="Q14" s="69" t="s">
        <v>332</v>
      </c>
      <c r="R14" s="69"/>
      <c r="S14" s="69"/>
      <c r="T14" s="46" t="s">
        <v>74</v>
      </c>
      <c r="U14" s="37" t="s">
        <v>151</v>
      </c>
      <c r="V14" s="37" t="n">
        <v>241.09</v>
      </c>
      <c r="W14" s="69" t="s">
        <v>333</v>
      </c>
      <c r="X14" s="69"/>
      <c r="Y14" s="69"/>
      <c r="Z14" s="46" t="s">
        <v>40</v>
      </c>
      <c r="AA14" s="37" t="s">
        <v>151</v>
      </c>
      <c r="AB14" s="37" t="n">
        <v>529.56</v>
      </c>
      <c r="AC14" s="69" t="s">
        <v>333</v>
      </c>
      <c r="AD14" s="69"/>
      <c r="AE14" s="69"/>
      <c r="AF14" s="46" t="s">
        <v>192</v>
      </c>
      <c r="AG14" s="37" t="s">
        <v>151</v>
      </c>
      <c r="AH14" s="37" t="n">
        <v>111.78</v>
      </c>
      <c r="AI14" s="69" t="s">
        <v>332</v>
      </c>
      <c r="AJ14" s="69"/>
      <c r="AK14" s="69"/>
      <c r="AL14" s="32" t="s">
        <v>198</v>
      </c>
      <c r="AM14" s="57"/>
      <c r="AN14" s="37" t="n">
        <v>10</v>
      </c>
      <c r="AO14" s="69" t="s">
        <v>332</v>
      </c>
      <c r="AP14" s="69"/>
      <c r="AQ14" s="69"/>
      <c r="AR14" s="36" t="s">
        <v>129</v>
      </c>
      <c r="AS14" s="37" t="s">
        <v>151</v>
      </c>
      <c r="AT14" s="37" t="n">
        <v>38.95</v>
      </c>
      <c r="AU14" s="69" t="s">
        <v>338</v>
      </c>
      <c r="AV14" s="69"/>
      <c r="AW14" s="82" t="n">
        <v>46302</v>
      </c>
      <c r="AX14" s="69"/>
      <c r="AY14" s="69"/>
    </row>
    <row r="15" customFormat="false" ht="20.25" hidden="false" customHeight="true" outlineLevel="0" collapsed="false">
      <c r="A15" s="69"/>
      <c r="B15" s="24" t="s">
        <v>57</v>
      </c>
      <c r="C15" s="58"/>
      <c r="D15" s="30" t="n">
        <v>7.32</v>
      </c>
      <c r="E15" s="23" t="s">
        <v>328</v>
      </c>
      <c r="F15" s="23"/>
      <c r="G15" s="69"/>
      <c r="H15" s="69"/>
      <c r="I15" s="69"/>
      <c r="J15" s="69"/>
      <c r="K15" s="69"/>
      <c r="L15" s="69"/>
      <c r="M15" s="69"/>
      <c r="N15" s="29" t="s">
        <v>94</v>
      </c>
      <c r="O15" s="30" t="s">
        <v>151</v>
      </c>
      <c r="P15" s="30" t="n">
        <v>200</v>
      </c>
      <c r="Q15" s="69" t="s">
        <v>332</v>
      </c>
      <c r="R15" s="69"/>
      <c r="S15" s="69"/>
      <c r="T15" s="47" t="s">
        <v>75</v>
      </c>
      <c r="U15" s="30" t="s">
        <v>151</v>
      </c>
      <c r="V15" s="30" t="n">
        <v>0.65</v>
      </c>
      <c r="W15" s="69" t="s">
        <v>339</v>
      </c>
      <c r="X15" s="69"/>
      <c r="Y15" s="69"/>
      <c r="Z15" s="47" t="s">
        <v>41</v>
      </c>
      <c r="AA15" s="30" t="s">
        <v>151</v>
      </c>
      <c r="AB15" s="30" t="n">
        <v>1</v>
      </c>
      <c r="AC15" s="69" t="s">
        <v>333</v>
      </c>
      <c r="AD15" s="69"/>
      <c r="AE15" s="69"/>
      <c r="AF15" s="47" t="s">
        <v>202</v>
      </c>
      <c r="AG15" s="30" t="s">
        <v>151</v>
      </c>
      <c r="AH15" s="30" t="n">
        <v>20.89</v>
      </c>
      <c r="AI15" s="69" t="s">
        <v>332</v>
      </c>
      <c r="AJ15" s="69"/>
      <c r="AK15" s="69"/>
      <c r="AL15" s="47" t="s">
        <v>188</v>
      </c>
      <c r="AM15" s="30" t="s">
        <v>151</v>
      </c>
      <c r="AN15" s="30" t="n">
        <v>22.28</v>
      </c>
      <c r="AO15" s="69" t="s">
        <v>332</v>
      </c>
      <c r="AP15" s="69"/>
      <c r="AQ15" s="69"/>
      <c r="AR15" s="29" t="s">
        <v>203</v>
      </c>
      <c r="AS15" s="30" t="s">
        <v>151</v>
      </c>
      <c r="AT15" s="30" t="n">
        <v>154</v>
      </c>
      <c r="AU15" s="69" t="s">
        <v>335</v>
      </c>
      <c r="AV15" s="69" t="s">
        <v>340</v>
      </c>
      <c r="AW15" s="69"/>
      <c r="AX15" s="69"/>
      <c r="AY15" s="69"/>
    </row>
    <row r="16" customFormat="false" ht="20.25" hidden="false" customHeight="true" outlineLevel="0" collapsed="false">
      <c r="A16" s="69"/>
      <c r="B16" s="32" t="s">
        <v>57</v>
      </c>
      <c r="C16" s="57"/>
      <c r="D16" s="37" t="n">
        <v>11.22</v>
      </c>
      <c r="E16" s="23" t="s">
        <v>328</v>
      </c>
      <c r="F16" s="23"/>
      <c r="G16" s="69"/>
      <c r="H16" s="69"/>
      <c r="I16" s="69"/>
      <c r="J16" s="69"/>
      <c r="K16" s="69"/>
      <c r="L16" s="69"/>
      <c r="M16" s="69"/>
      <c r="N16" s="36" t="s">
        <v>94</v>
      </c>
      <c r="O16" s="37" t="s">
        <v>151</v>
      </c>
      <c r="P16" s="37" t="n">
        <v>200</v>
      </c>
      <c r="Q16" s="69" t="s">
        <v>332</v>
      </c>
      <c r="R16" s="69"/>
      <c r="S16" s="69"/>
      <c r="T16" s="32" t="s">
        <v>76</v>
      </c>
      <c r="U16" s="57"/>
      <c r="V16" s="37" t="n">
        <v>1599.28</v>
      </c>
      <c r="W16" s="69" t="s">
        <v>333</v>
      </c>
      <c r="X16" s="69"/>
      <c r="Y16" s="69"/>
      <c r="Z16" s="46" t="s">
        <v>42</v>
      </c>
      <c r="AA16" s="37" t="s">
        <v>151</v>
      </c>
      <c r="AB16" s="37" t="n">
        <v>83.04</v>
      </c>
      <c r="AC16" s="69" t="s">
        <v>333</v>
      </c>
      <c r="AD16" s="69"/>
      <c r="AE16" s="69"/>
      <c r="AF16" s="46" t="s">
        <v>202</v>
      </c>
      <c r="AG16" s="37" t="s">
        <v>151</v>
      </c>
      <c r="AH16" s="37" t="n">
        <v>9.82</v>
      </c>
      <c r="AI16" s="69" t="s">
        <v>332</v>
      </c>
      <c r="AJ16" s="69"/>
      <c r="AK16" s="69"/>
      <c r="AL16" s="32" t="s">
        <v>205</v>
      </c>
      <c r="AM16" s="57"/>
      <c r="AN16" s="37" t="n">
        <v>320.96</v>
      </c>
      <c r="AO16" s="69" t="s">
        <v>332</v>
      </c>
      <c r="AP16" s="69"/>
      <c r="AQ16" s="69"/>
      <c r="AR16" s="36" t="s">
        <v>206</v>
      </c>
      <c r="AS16" s="37" t="s">
        <v>151</v>
      </c>
      <c r="AT16" s="37" t="n">
        <v>20</v>
      </c>
      <c r="AU16" s="69" t="s">
        <v>338</v>
      </c>
      <c r="AV16" s="69"/>
      <c r="AW16" s="69" t="s">
        <v>341</v>
      </c>
      <c r="AX16" s="69"/>
      <c r="AY16" s="69"/>
    </row>
    <row r="17" customFormat="false" ht="20.25" hidden="false" customHeight="true" outlineLevel="0" collapsed="false">
      <c r="A17" s="69"/>
      <c r="B17" s="24" t="s">
        <v>57</v>
      </c>
      <c r="C17" s="58"/>
      <c r="D17" s="30" t="n">
        <v>10.53</v>
      </c>
      <c r="E17" s="23" t="s">
        <v>328</v>
      </c>
      <c r="F17" s="23"/>
      <c r="G17" s="69"/>
      <c r="H17" s="69"/>
      <c r="I17" s="69"/>
      <c r="J17" s="69"/>
      <c r="K17" s="69"/>
      <c r="L17" s="69"/>
      <c r="M17" s="69"/>
      <c r="N17" s="29" t="s">
        <v>94</v>
      </c>
      <c r="O17" s="30" t="s">
        <v>151</v>
      </c>
      <c r="P17" s="30" t="n">
        <v>200</v>
      </c>
      <c r="Q17" s="69" t="s">
        <v>332</v>
      </c>
      <c r="R17" s="69"/>
      <c r="S17" s="69"/>
      <c r="T17" s="24" t="s">
        <v>76</v>
      </c>
      <c r="U17" s="58"/>
      <c r="V17" s="30" t="n">
        <v>1</v>
      </c>
      <c r="W17" s="69" t="s">
        <v>333</v>
      </c>
      <c r="X17" s="69"/>
      <c r="Y17" s="69"/>
      <c r="Z17" s="47" t="s">
        <v>43</v>
      </c>
      <c r="AA17" s="30" t="s">
        <v>151</v>
      </c>
      <c r="AB17" s="30" t="n">
        <v>88.65</v>
      </c>
      <c r="AC17" s="69" t="s">
        <v>342</v>
      </c>
      <c r="AD17" s="69"/>
      <c r="AE17" s="69"/>
      <c r="AF17" s="47" t="s">
        <v>211</v>
      </c>
      <c r="AG17" s="30" t="s">
        <v>151</v>
      </c>
      <c r="AH17" s="30" t="n">
        <v>29.94</v>
      </c>
      <c r="AI17" s="69" t="s">
        <v>332</v>
      </c>
      <c r="AJ17" s="69"/>
      <c r="AK17" s="69"/>
      <c r="AL17" s="24" t="s">
        <v>210</v>
      </c>
      <c r="AM17" s="58"/>
      <c r="AN17" s="30" t="n">
        <v>28.04</v>
      </c>
      <c r="AO17" s="69" t="s">
        <v>332</v>
      </c>
      <c r="AP17" s="69"/>
      <c r="AQ17" s="69"/>
      <c r="AR17" s="80" t="s">
        <v>132</v>
      </c>
      <c r="AS17" s="30" t="s">
        <v>151</v>
      </c>
      <c r="AT17" s="30" t="n">
        <v>53.23</v>
      </c>
      <c r="AU17" s="69" t="s">
        <v>332</v>
      </c>
      <c r="AV17" s="69" t="s">
        <v>332</v>
      </c>
      <c r="AW17" s="69"/>
      <c r="AX17" s="69"/>
      <c r="AY17" s="69"/>
    </row>
    <row r="18" customFormat="false" ht="15" hidden="false" customHeight="false" outlineLevel="0" collapsed="false">
      <c r="A18" s="69"/>
      <c r="B18" s="32" t="s">
        <v>112</v>
      </c>
      <c r="C18" s="57"/>
      <c r="D18" s="37" t="n">
        <v>226.02</v>
      </c>
      <c r="E18" s="23" t="s">
        <v>343</v>
      </c>
      <c r="F18" s="23"/>
      <c r="G18" s="69"/>
      <c r="H18" s="69"/>
      <c r="I18" s="69"/>
      <c r="J18" s="69"/>
      <c r="K18" s="69"/>
      <c r="L18" s="69"/>
      <c r="M18" s="69"/>
      <c r="N18" s="36" t="s">
        <v>94</v>
      </c>
      <c r="O18" s="37" t="s">
        <v>151</v>
      </c>
      <c r="P18" s="37" t="n">
        <v>200</v>
      </c>
      <c r="Q18" s="69" t="s">
        <v>332</v>
      </c>
      <c r="R18" s="69"/>
      <c r="S18" s="69"/>
      <c r="T18" s="32" t="s">
        <v>77</v>
      </c>
      <c r="U18" s="57"/>
      <c r="V18" s="37" t="n">
        <v>2546.34</v>
      </c>
      <c r="W18" s="69" t="s">
        <v>333</v>
      </c>
      <c r="X18" s="69"/>
      <c r="Y18" s="69"/>
      <c r="Z18" s="46" t="s">
        <v>44</v>
      </c>
      <c r="AA18" s="37" t="s">
        <v>151</v>
      </c>
      <c r="AB18" s="37" t="n">
        <v>1350</v>
      </c>
      <c r="AC18" s="69" t="s">
        <v>332</v>
      </c>
      <c r="AD18" s="69"/>
      <c r="AE18" s="69"/>
      <c r="AF18" s="46" t="s">
        <v>214</v>
      </c>
      <c r="AG18" s="37" t="n">
        <v>615</v>
      </c>
      <c r="AH18" s="37" t="s">
        <v>151</v>
      </c>
      <c r="AI18" s="69" t="s">
        <v>332</v>
      </c>
      <c r="AJ18" s="69"/>
      <c r="AK18" s="69"/>
      <c r="AL18" s="32" t="s">
        <v>43</v>
      </c>
      <c r="AM18" s="57"/>
      <c r="AN18" s="37" t="n">
        <v>100.9</v>
      </c>
      <c r="AO18" s="69" t="s">
        <v>332</v>
      </c>
      <c r="AP18" s="69"/>
      <c r="AQ18" s="69"/>
      <c r="AR18" s="80" t="s">
        <v>133</v>
      </c>
      <c r="AS18" s="37" t="s">
        <v>151</v>
      </c>
      <c r="AT18" s="37" t="n">
        <v>246</v>
      </c>
      <c r="AU18" s="69" t="s">
        <v>332</v>
      </c>
      <c r="AV18" s="69" t="s">
        <v>332</v>
      </c>
      <c r="AW18" s="69"/>
      <c r="AX18" s="69"/>
      <c r="AY18" s="69"/>
    </row>
    <row r="19" customFormat="false" ht="20.25" hidden="false" customHeight="true" outlineLevel="0" collapsed="false">
      <c r="A19" s="69"/>
      <c r="B19" s="32" t="s">
        <v>313</v>
      </c>
      <c r="C19" s="57"/>
      <c r="D19" s="37" t="n">
        <v>11.43</v>
      </c>
      <c r="E19" s="23" t="s">
        <v>343</v>
      </c>
      <c r="F19" s="23"/>
      <c r="G19" s="69"/>
      <c r="H19" s="69"/>
      <c r="I19" s="69"/>
      <c r="J19" s="69"/>
      <c r="K19" s="69"/>
      <c r="L19" s="69"/>
      <c r="M19" s="69"/>
      <c r="N19" s="29" t="s">
        <v>94</v>
      </c>
      <c r="O19" s="30" t="s">
        <v>151</v>
      </c>
      <c r="P19" s="30" t="n">
        <v>200</v>
      </c>
      <c r="Q19" s="69" t="s">
        <v>332</v>
      </c>
      <c r="R19" s="69"/>
      <c r="S19" s="69"/>
      <c r="T19" s="47" t="s">
        <v>78</v>
      </c>
      <c r="U19" s="30" t="n">
        <v>22145.54</v>
      </c>
      <c r="V19" s="30" t="s">
        <v>151</v>
      </c>
      <c r="W19" s="69" t="s">
        <v>333</v>
      </c>
      <c r="X19" s="69"/>
      <c r="Y19" s="69"/>
      <c r="Z19" s="47" t="s">
        <v>45</v>
      </c>
      <c r="AA19" s="30" t="s">
        <v>151</v>
      </c>
      <c r="AB19" s="30" t="n">
        <v>94.5</v>
      </c>
      <c r="AC19" s="69" t="s">
        <v>333</v>
      </c>
      <c r="AD19" s="69"/>
      <c r="AE19" s="69"/>
      <c r="AF19" s="47" t="s">
        <v>184</v>
      </c>
      <c r="AG19" s="30" t="s">
        <v>151</v>
      </c>
      <c r="AH19" s="30" t="n">
        <v>90.07</v>
      </c>
      <c r="AI19" s="69" t="s">
        <v>332</v>
      </c>
      <c r="AJ19" s="69"/>
      <c r="AK19" s="69"/>
      <c r="AL19" s="24" t="s">
        <v>218</v>
      </c>
      <c r="AM19" s="58"/>
      <c r="AN19" s="30" t="n">
        <v>4920</v>
      </c>
      <c r="AO19" s="69" t="s">
        <v>332</v>
      </c>
      <c r="AP19" s="69"/>
      <c r="AQ19" s="69"/>
      <c r="AR19" s="80" t="s">
        <v>134</v>
      </c>
      <c r="AS19" s="30" t="s">
        <v>151</v>
      </c>
      <c r="AT19" s="30" t="n">
        <v>563.34</v>
      </c>
      <c r="AU19" s="69" t="s">
        <v>332</v>
      </c>
      <c r="AV19" s="69" t="s">
        <v>332</v>
      </c>
      <c r="AW19" s="69"/>
      <c r="AX19" s="69"/>
      <c r="AY19" s="69"/>
    </row>
    <row r="20" customFormat="false" ht="30.75" hidden="false" customHeight="true" outlineLevel="0" collapsed="false">
      <c r="A20" s="69"/>
      <c r="B20" s="24" t="s">
        <v>117</v>
      </c>
      <c r="C20" s="58"/>
      <c r="D20" s="30" t="n">
        <v>976.43</v>
      </c>
      <c r="E20" s="23" t="s">
        <v>343</v>
      </c>
      <c r="F20" s="23"/>
      <c r="G20" s="69"/>
      <c r="H20" s="69"/>
      <c r="I20" s="69"/>
      <c r="J20" s="69"/>
      <c r="K20" s="69"/>
      <c r="L20" s="69"/>
      <c r="M20" s="69"/>
      <c r="N20" s="36" t="s">
        <v>94</v>
      </c>
      <c r="O20" s="37" t="s">
        <v>151</v>
      </c>
      <c r="P20" s="37" t="n">
        <v>200</v>
      </c>
      <c r="Q20" s="69" t="s">
        <v>332</v>
      </c>
      <c r="R20" s="69"/>
      <c r="S20" s="69"/>
      <c r="T20" s="32" t="s">
        <v>66</v>
      </c>
      <c r="U20" s="57"/>
      <c r="V20" s="37" t="n">
        <v>1</v>
      </c>
      <c r="W20" s="69" t="s">
        <v>333</v>
      </c>
      <c r="X20" s="69"/>
      <c r="Y20" s="69"/>
      <c r="Z20" s="46" t="s">
        <v>46</v>
      </c>
      <c r="AA20" s="37" t="s">
        <v>151</v>
      </c>
      <c r="AB20" s="37" t="n">
        <v>166.43</v>
      </c>
      <c r="AC20" s="69" t="s">
        <v>333</v>
      </c>
      <c r="AD20" s="69"/>
      <c r="AE20" s="69"/>
      <c r="AF20" s="46" t="s">
        <v>62</v>
      </c>
      <c r="AG20" s="37" t="s">
        <v>151</v>
      </c>
      <c r="AH20" s="37" t="n">
        <v>112.63</v>
      </c>
      <c r="AI20" s="69" t="s">
        <v>332</v>
      </c>
      <c r="AJ20" s="69"/>
      <c r="AK20" s="69"/>
      <c r="AL20" s="46" t="s">
        <v>188</v>
      </c>
      <c r="AM20" s="37" t="s">
        <v>151</v>
      </c>
      <c r="AN20" s="37" t="n">
        <v>17.98</v>
      </c>
      <c r="AO20" s="69" t="s">
        <v>344</v>
      </c>
      <c r="AP20" s="69"/>
      <c r="AQ20" s="69"/>
      <c r="AR20" s="36" t="s">
        <v>135</v>
      </c>
      <c r="AS20" s="37" t="s">
        <v>151</v>
      </c>
      <c r="AT20" s="37" t="n">
        <v>5070</v>
      </c>
      <c r="AU20" s="69" t="s">
        <v>335</v>
      </c>
      <c r="AV20" s="69"/>
      <c r="AW20" s="69"/>
      <c r="AX20" s="69"/>
      <c r="AY20" s="69"/>
    </row>
    <row r="21" customFormat="false" ht="20.25" hidden="false" customHeight="true" outlineLevel="0" collapsed="false">
      <c r="A21" s="69"/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29" t="s">
        <v>94</v>
      </c>
      <c r="O21" s="30" t="s">
        <v>151</v>
      </c>
      <c r="P21" s="30" t="n">
        <v>200</v>
      </c>
      <c r="Q21" s="69" t="s">
        <v>332</v>
      </c>
      <c r="R21" s="69"/>
      <c r="S21" s="69"/>
      <c r="T21" s="24" t="s">
        <v>42</v>
      </c>
      <c r="U21" s="58"/>
      <c r="V21" s="30" t="n">
        <v>148.95</v>
      </c>
      <c r="W21" s="69" t="s">
        <v>333</v>
      </c>
      <c r="X21" s="69"/>
      <c r="Y21" s="69"/>
      <c r="Z21" s="47" t="s">
        <v>47</v>
      </c>
      <c r="AA21" s="30" t="n">
        <v>1353</v>
      </c>
      <c r="AB21" s="30" t="s">
        <v>151</v>
      </c>
      <c r="AC21" s="69" t="s">
        <v>333</v>
      </c>
      <c r="AD21" s="69"/>
      <c r="AE21" s="69"/>
      <c r="AF21" s="47" t="s">
        <v>228</v>
      </c>
      <c r="AG21" s="30" t="n">
        <v>22.27</v>
      </c>
      <c r="AH21" s="30" t="s">
        <v>151</v>
      </c>
      <c r="AI21" s="69" t="s">
        <v>345</v>
      </c>
      <c r="AJ21" s="69"/>
      <c r="AK21" s="69"/>
      <c r="AL21" s="24" t="s">
        <v>227</v>
      </c>
      <c r="AM21" s="58"/>
      <c r="AN21" s="30" t="n">
        <v>83.7</v>
      </c>
      <c r="AO21" s="69" t="s">
        <v>343</v>
      </c>
      <c r="AP21" s="69"/>
      <c r="AQ21" s="69"/>
      <c r="AR21" s="29" t="s">
        <v>203</v>
      </c>
      <c r="AS21" s="30" t="s">
        <v>151</v>
      </c>
      <c r="AT21" s="30" t="n">
        <v>100.8</v>
      </c>
      <c r="AU21" s="69" t="s">
        <v>335</v>
      </c>
      <c r="AV21" s="69"/>
      <c r="AW21" s="69"/>
      <c r="AX21" s="69"/>
      <c r="AY21" s="69"/>
    </row>
    <row r="22" customFormat="false" ht="15" hidden="false" customHeight="false" outlineLevel="0" collapsed="false">
      <c r="A22" s="69"/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46" t="s">
        <v>175</v>
      </c>
      <c r="O22" s="37" t="n">
        <v>11404.56</v>
      </c>
      <c r="P22" s="37" t="s">
        <v>151</v>
      </c>
      <c r="Q22" s="69" t="s">
        <v>332</v>
      </c>
      <c r="R22" s="69"/>
      <c r="S22" s="69"/>
      <c r="T22" s="46" t="s">
        <v>62</v>
      </c>
      <c r="U22" s="37" t="s">
        <v>151</v>
      </c>
      <c r="V22" s="37" t="n">
        <v>235.03</v>
      </c>
      <c r="W22" s="69" t="s">
        <v>333</v>
      </c>
      <c r="X22" s="69"/>
      <c r="Y22" s="69"/>
      <c r="Z22" s="46" t="s">
        <v>48</v>
      </c>
      <c r="AA22" s="37" t="s">
        <v>151</v>
      </c>
      <c r="AB22" s="37" t="n">
        <v>1038</v>
      </c>
      <c r="AC22" s="69" t="s">
        <v>333</v>
      </c>
      <c r="AD22" s="69"/>
      <c r="AE22" s="69"/>
      <c r="AF22" s="46" t="s">
        <v>232</v>
      </c>
      <c r="AG22" s="37" t="s">
        <v>151</v>
      </c>
      <c r="AH22" s="37" t="n">
        <v>60</v>
      </c>
      <c r="AI22" s="69"/>
      <c r="AJ22" s="69"/>
      <c r="AK22" s="69"/>
      <c r="AL22" s="32" t="s">
        <v>198</v>
      </c>
      <c r="AM22" s="57"/>
      <c r="AN22" s="37" t="n">
        <v>3816</v>
      </c>
      <c r="AO22" s="69" t="s">
        <v>332</v>
      </c>
      <c r="AP22" s="69"/>
      <c r="AQ22" s="69"/>
      <c r="AR22" s="32" t="s">
        <v>135</v>
      </c>
      <c r="AS22" s="57"/>
      <c r="AT22" s="37" t="n">
        <v>629.01</v>
      </c>
      <c r="AU22" s="69" t="s">
        <v>335</v>
      </c>
      <c r="AV22" s="69"/>
      <c r="AW22" s="69"/>
      <c r="AX22" s="69"/>
      <c r="AY22" s="69"/>
    </row>
    <row r="23" customFormat="false" ht="15" hidden="false" customHeight="false" outlineLevel="0" collapsed="false">
      <c r="A23" s="69"/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47" t="s">
        <v>96</v>
      </c>
      <c r="O23" s="30" t="s">
        <v>151</v>
      </c>
      <c r="P23" s="30" t="n">
        <v>42.55</v>
      </c>
      <c r="Q23" s="69" t="s">
        <v>340</v>
      </c>
      <c r="R23" s="69"/>
      <c r="S23" s="69"/>
      <c r="T23" s="47" t="s">
        <v>74</v>
      </c>
      <c r="U23" s="30" t="s">
        <v>151</v>
      </c>
      <c r="V23" s="30" t="n">
        <v>176.79</v>
      </c>
      <c r="W23" s="69" t="s">
        <v>333</v>
      </c>
      <c r="X23" s="69"/>
      <c r="Y23" s="69"/>
      <c r="Z23" s="47" t="s">
        <v>49</v>
      </c>
      <c r="AA23" s="30" t="s">
        <v>151</v>
      </c>
      <c r="AB23" s="30" t="n">
        <v>29.7</v>
      </c>
      <c r="AC23" s="69"/>
      <c r="AD23" s="69"/>
      <c r="AE23" s="69"/>
      <c r="AF23" s="47" t="s">
        <v>184</v>
      </c>
      <c r="AG23" s="30" t="s">
        <v>151</v>
      </c>
      <c r="AH23" s="30" t="n">
        <v>212.24</v>
      </c>
      <c r="AI23" s="69" t="s">
        <v>332</v>
      </c>
      <c r="AJ23" s="69"/>
      <c r="AK23" s="69"/>
      <c r="AL23" s="47" t="s">
        <v>236</v>
      </c>
      <c r="AM23" s="30" t="n">
        <v>3136.5</v>
      </c>
      <c r="AN23" s="30" t="s">
        <v>151</v>
      </c>
      <c r="AO23" s="69" t="s">
        <v>332</v>
      </c>
      <c r="AP23" s="69"/>
      <c r="AQ23" s="69"/>
      <c r="AR23" s="83" t="s">
        <v>136</v>
      </c>
      <c r="AS23" s="30" t="s">
        <v>151</v>
      </c>
      <c r="AT23" s="30" t="n">
        <v>1230</v>
      </c>
      <c r="AU23" s="69" t="s">
        <v>332</v>
      </c>
      <c r="AV23" s="69" t="s">
        <v>346</v>
      </c>
      <c r="AW23" s="69"/>
      <c r="AX23" s="69"/>
      <c r="AY23" s="69"/>
    </row>
    <row r="24" customFormat="false" ht="15" hidden="false" customHeight="false" outlineLevel="0" collapsed="false">
      <c r="A24" s="69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46" t="s">
        <v>97</v>
      </c>
      <c r="O24" s="37" t="s">
        <v>151</v>
      </c>
      <c r="P24" s="37" t="n">
        <v>1250</v>
      </c>
      <c r="Q24" s="69" t="s">
        <v>340</v>
      </c>
      <c r="R24" s="69"/>
      <c r="S24" s="69"/>
      <c r="T24" s="46" t="s">
        <v>240</v>
      </c>
      <c r="U24" s="37" t="n">
        <v>3136.5</v>
      </c>
      <c r="V24" s="37" t="s">
        <v>151</v>
      </c>
      <c r="W24" s="69" t="s">
        <v>333</v>
      </c>
      <c r="X24" s="69"/>
      <c r="Y24" s="69"/>
      <c r="Z24" s="46" t="s">
        <v>50</v>
      </c>
      <c r="AA24" s="37" t="s">
        <v>151</v>
      </c>
      <c r="AB24" s="37" t="n">
        <v>1</v>
      </c>
      <c r="AC24" s="69" t="s">
        <v>333</v>
      </c>
      <c r="AD24" s="69"/>
      <c r="AE24" s="69"/>
      <c r="AF24" s="46" t="s">
        <v>239</v>
      </c>
      <c r="AG24" s="37" t="s">
        <v>151</v>
      </c>
      <c r="AH24" s="37" t="n">
        <v>6554</v>
      </c>
      <c r="AI24" s="69" t="s">
        <v>332</v>
      </c>
      <c r="AJ24" s="69"/>
      <c r="AK24" s="69"/>
      <c r="AL24" s="46" t="s">
        <v>62</v>
      </c>
      <c r="AM24" s="37" t="s">
        <v>151</v>
      </c>
      <c r="AN24" s="37" t="n">
        <v>1.23</v>
      </c>
      <c r="AO24" s="69" t="s">
        <v>343</v>
      </c>
      <c r="AP24" s="69"/>
      <c r="AQ24" s="69"/>
      <c r="AR24" s="83" t="s">
        <v>137</v>
      </c>
      <c r="AS24" s="37" t="s">
        <v>151</v>
      </c>
      <c r="AT24" s="37" t="n">
        <v>36.32</v>
      </c>
      <c r="AU24" s="69" t="s">
        <v>332</v>
      </c>
      <c r="AV24" s="69" t="s">
        <v>332</v>
      </c>
      <c r="AW24" s="69"/>
      <c r="AX24" s="69"/>
      <c r="AY24" s="69"/>
    </row>
    <row r="25" customFormat="false" ht="20.25" hidden="false" customHeight="true" outlineLevel="0" collapsed="false">
      <c r="A25" s="69"/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47" t="s">
        <v>98</v>
      </c>
      <c r="O25" s="30" t="s">
        <v>151</v>
      </c>
      <c r="P25" s="30" t="n">
        <v>1250</v>
      </c>
      <c r="Q25" s="69" t="s">
        <v>340</v>
      </c>
      <c r="R25" s="69"/>
      <c r="S25" s="69"/>
      <c r="T25" s="47" t="s">
        <v>80</v>
      </c>
      <c r="U25" s="30" t="n">
        <v>886</v>
      </c>
      <c r="V25" s="30" t="s">
        <v>151</v>
      </c>
      <c r="W25" s="69" t="s">
        <v>333</v>
      </c>
      <c r="X25" s="69"/>
      <c r="Y25" s="69"/>
      <c r="Z25" s="47" t="s">
        <v>51</v>
      </c>
      <c r="AA25" s="30" t="s">
        <v>151</v>
      </c>
      <c r="AB25" s="30" t="n">
        <v>236.5</v>
      </c>
      <c r="AC25" s="69" t="s">
        <v>333</v>
      </c>
      <c r="AD25" s="69"/>
      <c r="AE25" s="69"/>
      <c r="AF25" s="84" t="s">
        <v>239</v>
      </c>
      <c r="AG25" s="85" t="s">
        <v>151</v>
      </c>
      <c r="AH25" s="85" t="n">
        <v>1105.94</v>
      </c>
      <c r="AI25" s="69" t="s">
        <v>332</v>
      </c>
      <c r="AJ25" s="69"/>
      <c r="AK25" s="69"/>
      <c r="AL25" s="24" t="s">
        <v>243</v>
      </c>
      <c r="AM25" s="58"/>
      <c r="AN25" s="30" t="n">
        <v>50.36</v>
      </c>
      <c r="AO25" s="69" t="s">
        <v>332</v>
      </c>
      <c r="AP25" s="69"/>
      <c r="AQ25" s="69"/>
      <c r="AR25" s="47" t="s">
        <v>138</v>
      </c>
      <c r="AS25" s="86" t="n">
        <v>35590.05</v>
      </c>
      <c r="AT25" s="30" t="s">
        <v>151</v>
      </c>
      <c r="AU25" s="69" t="s">
        <v>332</v>
      </c>
      <c r="AV25" s="69" t="s">
        <v>347</v>
      </c>
      <c r="AW25" s="69"/>
      <c r="AX25" s="69"/>
      <c r="AY25" s="69"/>
    </row>
    <row r="26" customFormat="false" ht="15" hidden="false" customHeight="false" outlineLevel="0" collapsed="false">
      <c r="A26" s="69"/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46" t="s">
        <v>99</v>
      </c>
      <c r="O26" s="37" t="s">
        <v>151</v>
      </c>
      <c r="P26" s="37" t="n">
        <v>9.96</v>
      </c>
      <c r="Q26" s="69" t="s">
        <v>332</v>
      </c>
      <c r="R26" s="69"/>
      <c r="S26" s="69"/>
      <c r="T26" s="32" t="s">
        <v>81</v>
      </c>
      <c r="U26" s="57"/>
      <c r="V26" s="37" t="n">
        <v>680.88</v>
      </c>
      <c r="W26" s="69" t="s">
        <v>333</v>
      </c>
      <c r="X26" s="69"/>
      <c r="Y26" s="69"/>
      <c r="Z26" s="46" t="s">
        <v>52</v>
      </c>
      <c r="AA26" s="37" t="s">
        <v>151</v>
      </c>
      <c r="AB26" s="37" t="n">
        <v>14367</v>
      </c>
      <c r="AC26" s="69" t="s">
        <v>339</v>
      </c>
      <c r="AD26" s="69"/>
      <c r="AE26" s="69"/>
      <c r="AF26" s="32" t="s">
        <v>171</v>
      </c>
      <c r="AG26" s="34" t="s">
        <v>151</v>
      </c>
      <c r="AH26" s="34" t="n">
        <v>246</v>
      </c>
      <c r="AI26" s="69" t="s">
        <v>332</v>
      </c>
      <c r="AJ26" s="69"/>
      <c r="AK26" s="69"/>
      <c r="AL26" s="46" t="s">
        <v>247</v>
      </c>
      <c r="AM26" s="37" t="s">
        <v>151</v>
      </c>
      <c r="AN26" s="37" t="n">
        <v>277.12</v>
      </c>
      <c r="AO26" s="69" t="s">
        <v>332</v>
      </c>
      <c r="AP26" s="69"/>
      <c r="AQ26" s="69"/>
      <c r="AR26" s="46" t="s">
        <v>139</v>
      </c>
      <c r="AS26" s="37" t="s">
        <v>151</v>
      </c>
      <c r="AT26" s="37" t="n">
        <v>249.66</v>
      </c>
      <c r="AU26" s="69" t="s">
        <v>348</v>
      </c>
      <c r="AV26" s="69"/>
      <c r="AW26" s="69"/>
      <c r="AX26" s="69"/>
      <c r="AY26" s="69"/>
    </row>
    <row r="27" customFormat="false" ht="41.25" hidden="false" customHeight="true" outlineLevel="0" collapsed="false">
      <c r="A27" s="69"/>
      <c r="B27" s="69" t="s">
        <v>349</v>
      </c>
      <c r="C27" s="69" t="s">
        <v>350</v>
      </c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47" t="s">
        <v>100</v>
      </c>
      <c r="O27" s="30" t="s">
        <v>151</v>
      </c>
      <c r="P27" s="30" t="n">
        <v>51</v>
      </c>
      <c r="Q27" s="69" t="s">
        <v>351</v>
      </c>
      <c r="R27" s="69"/>
      <c r="S27" s="69"/>
      <c r="T27" s="47" t="s">
        <v>151</v>
      </c>
      <c r="U27" s="30" t="s">
        <v>151</v>
      </c>
      <c r="V27" s="30" t="s">
        <v>151</v>
      </c>
      <c r="W27" s="69"/>
      <c r="X27" s="69"/>
      <c r="Y27" s="69"/>
      <c r="Z27" s="47" t="s">
        <v>52</v>
      </c>
      <c r="AA27" s="30" t="s">
        <v>151</v>
      </c>
      <c r="AB27" s="30" t="n">
        <v>1121.07</v>
      </c>
      <c r="AC27" s="69" t="s">
        <v>339</v>
      </c>
      <c r="AD27" s="69"/>
      <c r="AE27" s="69"/>
      <c r="AF27" s="47" t="s">
        <v>63</v>
      </c>
      <c r="AG27" s="30" t="s">
        <v>151</v>
      </c>
      <c r="AH27" s="30" t="n">
        <v>3782.15</v>
      </c>
      <c r="AI27" s="69" t="s">
        <v>332</v>
      </c>
      <c r="AJ27" s="69"/>
      <c r="AK27" s="69"/>
      <c r="AL27" s="47" t="s">
        <v>247</v>
      </c>
      <c r="AM27" s="30" t="s">
        <v>151</v>
      </c>
      <c r="AN27" s="30" t="n">
        <v>195.29</v>
      </c>
      <c r="AO27" s="69" t="s">
        <v>332</v>
      </c>
      <c r="AP27" s="69"/>
      <c r="AQ27" s="69"/>
      <c r="AR27" s="47" t="s">
        <v>139</v>
      </c>
      <c r="AS27" s="30" t="s">
        <v>151</v>
      </c>
      <c r="AT27" s="30" t="n">
        <v>187.54</v>
      </c>
      <c r="AU27" s="69" t="s">
        <v>348</v>
      </c>
      <c r="AV27" s="69"/>
      <c r="AW27" s="69"/>
      <c r="AX27" s="69"/>
      <c r="AY27" s="69"/>
    </row>
    <row r="28" customFormat="false" ht="20.25" hidden="false" customHeight="true" outlineLevel="0" collapsed="false">
      <c r="A28" s="69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46" t="s">
        <v>101</v>
      </c>
      <c r="O28" s="37" t="s">
        <v>151</v>
      </c>
      <c r="P28" s="37" t="n">
        <v>62.26</v>
      </c>
      <c r="Q28" s="69" t="s">
        <v>352</v>
      </c>
      <c r="R28" s="69"/>
      <c r="S28" s="69"/>
      <c r="T28" s="46" t="s">
        <v>39</v>
      </c>
      <c r="U28" s="37" t="s">
        <v>151</v>
      </c>
      <c r="V28" s="37" t="n">
        <v>246</v>
      </c>
      <c r="W28" s="69" t="s">
        <v>333</v>
      </c>
      <c r="X28" s="69"/>
      <c r="Y28" s="69"/>
      <c r="Z28" s="46" t="s">
        <v>42</v>
      </c>
      <c r="AA28" s="37" t="s">
        <v>151</v>
      </c>
      <c r="AB28" s="37" t="n">
        <v>32.53</v>
      </c>
      <c r="AC28" s="69" t="s">
        <v>333</v>
      </c>
      <c r="AD28" s="69"/>
      <c r="AE28" s="69"/>
      <c r="AF28" s="46" t="s">
        <v>63</v>
      </c>
      <c r="AG28" s="37" t="s">
        <v>151</v>
      </c>
      <c r="AH28" s="37" t="n">
        <v>3782.15</v>
      </c>
      <c r="AI28" s="69" t="s">
        <v>332</v>
      </c>
      <c r="AJ28" s="69"/>
      <c r="AK28" s="69"/>
      <c r="AL28" s="46" t="s">
        <v>254</v>
      </c>
      <c r="AM28" s="37" t="s">
        <v>151</v>
      </c>
      <c r="AN28" s="37" t="n">
        <v>6960</v>
      </c>
      <c r="AO28" s="69" t="s">
        <v>353</v>
      </c>
      <c r="AP28" s="69"/>
      <c r="AQ28" s="69"/>
      <c r="AR28" s="46" t="s">
        <v>122</v>
      </c>
      <c r="AS28" s="37" t="s">
        <v>151</v>
      </c>
      <c r="AT28" s="37" t="n">
        <v>1250</v>
      </c>
      <c r="AU28" s="69" t="s">
        <v>335</v>
      </c>
      <c r="AV28" s="69"/>
      <c r="AW28" s="69"/>
      <c r="AX28" s="69"/>
      <c r="AY28" s="69"/>
    </row>
    <row r="29" customFormat="false" ht="20.25" hidden="false" customHeight="true" outlineLevel="0" collapsed="false">
      <c r="A29" s="69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47" t="s">
        <v>96</v>
      </c>
      <c r="O29" s="30" t="s">
        <v>151</v>
      </c>
      <c r="P29" s="30" t="n">
        <v>39.1</v>
      </c>
      <c r="Q29" s="87" t="s">
        <v>354</v>
      </c>
      <c r="R29" s="69"/>
      <c r="S29" s="69"/>
      <c r="T29" s="24" t="s">
        <v>260</v>
      </c>
      <c r="U29" s="58"/>
      <c r="V29" s="30" t="n">
        <v>700</v>
      </c>
      <c r="W29" s="69" t="s">
        <v>355</v>
      </c>
      <c r="X29" s="69"/>
      <c r="Y29" s="69"/>
      <c r="Z29" s="47" t="s">
        <v>53</v>
      </c>
      <c r="AA29" s="30" t="s">
        <v>151</v>
      </c>
      <c r="AB29" s="30" t="n">
        <v>2626.36</v>
      </c>
      <c r="AC29" s="69" t="s">
        <v>332</v>
      </c>
      <c r="AD29" s="69"/>
      <c r="AE29" s="69"/>
      <c r="AF29" s="47" t="s">
        <v>259</v>
      </c>
      <c r="AG29" s="30" t="s">
        <v>151</v>
      </c>
      <c r="AH29" s="30" t="n">
        <v>2561.93</v>
      </c>
      <c r="AI29" s="69" t="s">
        <v>332</v>
      </c>
      <c r="AJ29" s="69"/>
      <c r="AK29" s="69"/>
      <c r="AL29" s="24" t="s">
        <v>258</v>
      </c>
      <c r="AM29" s="58"/>
      <c r="AN29" s="30" t="n">
        <v>6.9</v>
      </c>
      <c r="AO29" s="69" t="s">
        <v>344</v>
      </c>
      <c r="AP29" s="69"/>
      <c r="AQ29" s="69"/>
      <c r="AR29" s="47" t="s">
        <v>123</v>
      </c>
      <c r="AS29" s="30" t="s">
        <v>151</v>
      </c>
      <c r="AT29" s="30" t="n">
        <v>1250</v>
      </c>
      <c r="AU29" s="69" t="s">
        <v>335</v>
      </c>
      <c r="AV29" s="69"/>
      <c r="AW29" s="69"/>
      <c r="AX29" s="69"/>
      <c r="AY29" s="69"/>
    </row>
    <row r="30" customFormat="false" ht="20.25" hidden="false" customHeight="true" outlineLevel="0" collapsed="false">
      <c r="A30" s="69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46" t="s">
        <v>96</v>
      </c>
      <c r="O30" s="37" t="s">
        <v>151</v>
      </c>
      <c r="P30" s="37" t="n">
        <v>542.95</v>
      </c>
      <c r="Q30" s="87" t="s">
        <v>354</v>
      </c>
      <c r="R30" s="69"/>
      <c r="S30" s="69"/>
      <c r="T30" s="46" t="s">
        <v>233</v>
      </c>
      <c r="U30" s="37" t="s">
        <v>151</v>
      </c>
      <c r="V30" s="37" t="n">
        <v>905.22</v>
      </c>
      <c r="W30" s="69" t="s">
        <v>333</v>
      </c>
      <c r="X30" s="69"/>
      <c r="Y30" s="69"/>
      <c r="Z30" s="88" t="s">
        <v>43</v>
      </c>
      <c r="AA30" s="89" t="s">
        <v>151</v>
      </c>
      <c r="AB30" s="89" t="n">
        <v>16.7</v>
      </c>
      <c r="AC30" s="69" t="s">
        <v>342</v>
      </c>
      <c r="AD30" s="69"/>
      <c r="AE30" s="69"/>
      <c r="AF30" s="46" t="s">
        <v>259</v>
      </c>
      <c r="AG30" s="37" t="s">
        <v>151</v>
      </c>
      <c r="AH30" s="37" t="n">
        <v>2561.91</v>
      </c>
      <c r="AI30" s="69" t="s">
        <v>332</v>
      </c>
      <c r="AJ30" s="69"/>
      <c r="AK30" s="69"/>
      <c r="AL30" s="32" t="s">
        <v>258</v>
      </c>
      <c r="AM30" s="57"/>
      <c r="AN30" s="37" t="n">
        <v>13.5</v>
      </c>
      <c r="AO30" s="69" t="s">
        <v>344</v>
      </c>
      <c r="AP30" s="69"/>
      <c r="AQ30" s="69"/>
      <c r="AR30" s="46" t="s">
        <v>140</v>
      </c>
      <c r="AS30" s="37" t="s">
        <v>151</v>
      </c>
      <c r="AT30" s="37" t="n">
        <v>75.57</v>
      </c>
      <c r="AU30" s="69" t="s">
        <v>335</v>
      </c>
      <c r="AV30" s="69"/>
      <c r="AW30" s="69" t="n">
        <v>3</v>
      </c>
      <c r="AX30" s="69"/>
      <c r="AY30" s="69"/>
    </row>
    <row r="31" customFormat="false" ht="20.25" hidden="false" customHeight="true" outlineLevel="0" collapsed="false">
      <c r="A31" s="69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84" t="s">
        <v>266</v>
      </c>
      <c r="O31" s="85" t="n">
        <v>20172</v>
      </c>
      <c r="P31" s="85" t="s">
        <v>151</v>
      </c>
      <c r="Q31" s="69" t="s">
        <v>332</v>
      </c>
      <c r="R31" s="69"/>
      <c r="S31" s="69"/>
      <c r="T31" s="48" t="s">
        <v>73</v>
      </c>
      <c r="U31" s="58"/>
      <c r="V31" s="85" t="n">
        <v>109.42</v>
      </c>
      <c r="W31" s="69" t="s">
        <v>333</v>
      </c>
      <c r="X31" s="69"/>
      <c r="Y31" s="69"/>
      <c r="Z31" s="24" t="s">
        <v>39</v>
      </c>
      <c r="AA31" s="25" t="s">
        <v>151</v>
      </c>
      <c r="AB31" s="25" t="n">
        <v>246</v>
      </c>
      <c r="AC31" s="69" t="s">
        <v>333</v>
      </c>
      <c r="AD31" s="69"/>
      <c r="AE31" s="69"/>
      <c r="AF31" s="47" t="s">
        <v>36</v>
      </c>
      <c r="AG31" s="30" t="s">
        <v>151</v>
      </c>
      <c r="AH31" s="30" t="n">
        <v>9.96</v>
      </c>
      <c r="AI31" s="69" t="s">
        <v>332</v>
      </c>
      <c r="AJ31" s="69"/>
      <c r="AK31" s="69"/>
      <c r="AL31" s="24" t="s">
        <v>258</v>
      </c>
      <c r="AM31" s="58"/>
      <c r="AN31" s="30" t="n">
        <v>46.37</v>
      </c>
      <c r="AO31" s="69" t="s">
        <v>344</v>
      </c>
      <c r="AP31" s="69"/>
      <c r="AQ31" s="69"/>
      <c r="AR31" s="83" t="s">
        <v>125</v>
      </c>
      <c r="AS31" s="30" t="s">
        <v>151</v>
      </c>
      <c r="AT31" s="30" t="n">
        <v>9.96</v>
      </c>
      <c r="AU31" s="69" t="s">
        <v>332</v>
      </c>
      <c r="AV31" s="69" t="s">
        <v>332</v>
      </c>
      <c r="AW31" s="69"/>
      <c r="AX31" s="69"/>
      <c r="AY31" s="38" t="n">
        <v>34436.31</v>
      </c>
    </row>
    <row r="32" customFormat="false" ht="20.25" hidden="false" customHeight="true" outlineLevel="0" collapsed="false">
      <c r="A32" s="69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32" t="s">
        <v>103</v>
      </c>
      <c r="O32" s="34" t="s">
        <v>151</v>
      </c>
      <c r="P32" s="34" t="n">
        <v>40</v>
      </c>
      <c r="Q32" s="69" t="s">
        <v>352</v>
      </c>
      <c r="R32" s="69"/>
      <c r="S32" s="69"/>
      <c r="T32" s="32" t="s">
        <v>71</v>
      </c>
      <c r="U32" s="57"/>
      <c r="V32" s="34" t="n">
        <v>51</v>
      </c>
      <c r="W32" s="69" t="s">
        <v>333</v>
      </c>
      <c r="X32" s="69"/>
      <c r="Y32" s="69"/>
      <c r="Z32" s="46" t="s">
        <v>54</v>
      </c>
      <c r="AA32" s="37" t="s">
        <v>151</v>
      </c>
      <c r="AB32" s="37" t="n">
        <v>1734.69</v>
      </c>
      <c r="AC32" s="69" t="s">
        <v>333</v>
      </c>
      <c r="AD32" s="69"/>
      <c r="AE32" s="69"/>
      <c r="AF32" s="46" t="s">
        <v>267</v>
      </c>
      <c r="AG32" s="37" t="n">
        <v>3928.62</v>
      </c>
      <c r="AH32" s="37" t="s">
        <v>151</v>
      </c>
      <c r="AI32" s="69" t="s">
        <v>332</v>
      </c>
      <c r="AJ32" s="69"/>
      <c r="AK32" s="69"/>
      <c r="AL32" s="46" t="s">
        <v>167</v>
      </c>
      <c r="AM32" s="37" t="n">
        <v>13.36</v>
      </c>
      <c r="AN32" s="37" t="s">
        <v>151</v>
      </c>
      <c r="AO32" s="69"/>
      <c r="AP32" s="69"/>
      <c r="AQ32" s="69"/>
      <c r="AR32" s="46" t="s">
        <v>141</v>
      </c>
      <c r="AS32" s="37" t="s">
        <v>151</v>
      </c>
      <c r="AT32" s="37" t="n">
        <v>124.96</v>
      </c>
      <c r="AU32" s="69" t="s">
        <v>335</v>
      </c>
      <c r="AV32" s="69"/>
      <c r="AW32" s="69"/>
      <c r="AX32" s="69"/>
      <c r="AY32" s="69"/>
    </row>
    <row r="33" customFormat="false" ht="20.25" hidden="false" customHeight="true" outlineLevel="0" collapsed="false">
      <c r="A33" s="69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47" t="s">
        <v>70</v>
      </c>
      <c r="O33" s="30" t="n">
        <v>1289.68</v>
      </c>
      <c r="P33" s="30" t="s">
        <v>151</v>
      </c>
      <c r="Q33" s="69" t="s">
        <v>332</v>
      </c>
      <c r="R33" s="69"/>
      <c r="S33" s="69"/>
      <c r="T33" s="24" t="s">
        <v>36</v>
      </c>
      <c r="U33" s="58"/>
      <c r="V33" s="30" t="n">
        <v>9.96</v>
      </c>
      <c r="W33" s="69" t="s">
        <v>333</v>
      </c>
      <c r="X33" s="69"/>
      <c r="Y33" s="69"/>
      <c r="Z33" s="47" t="s">
        <v>36</v>
      </c>
      <c r="AA33" s="30" t="s">
        <v>151</v>
      </c>
      <c r="AB33" s="30" t="n">
        <v>9.96</v>
      </c>
      <c r="AC33" s="69" t="s">
        <v>333</v>
      </c>
      <c r="AD33" s="69"/>
      <c r="AE33" s="69"/>
      <c r="AF33" s="47" t="s">
        <v>269</v>
      </c>
      <c r="AG33" s="30" t="s">
        <v>151</v>
      </c>
      <c r="AH33" s="30" t="n">
        <v>69.98</v>
      </c>
      <c r="AI33" s="69" t="s">
        <v>332</v>
      </c>
      <c r="AJ33" s="69"/>
      <c r="AK33" s="69"/>
      <c r="AL33" s="24" t="s">
        <v>81</v>
      </c>
      <c r="AM33" s="58"/>
      <c r="AN33" s="30" t="n">
        <v>1298</v>
      </c>
      <c r="AO33" s="69" t="s">
        <v>332</v>
      </c>
      <c r="AP33" s="69"/>
      <c r="AQ33" s="69"/>
      <c r="AR33" s="47" t="n">
        <v>5.12121000248442E+017</v>
      </c>
      <c r="AS33" s="86" t="n">
        <v>34436.31</v>
      </c>
      <c r="AT33" s="30" t="s">
        <v>151</v>
      </c>
      <c r="AU33" s="69" t="s">
        <v>356</v>
      </c>
      <c r="AV33" s="69"/>
      <c r="AW33" s="69"/>
      <c r="AX33" s="69"/>
      <c r="AY33" s="69"/>
    </row>
    <row r="34" customFormat="false" ht="20.25" hidden="false" customHeight="true" outlineLevel="0" collapsed="false">
      <c r="A34" s="69"/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46" t="s">
        <v>104</v>
      </c>
      <c r="O34" s="37" t="s">
        <v>151</v>
      </c>
      <c r="P34" s="37" t="n">
        <v>2579.35</v>
      </c>
      <c r="Q34" s="69" t="s">
        <v>332</v>
      </c>
      <c r="R34" s="69"/>
      <c r="S34" s="69"/>
      <c r="T34" s="46" t="s">
        <v>83</v>
      </c>
      <c r="U34" s="37" t="n">
        <v>1119.3</v>
      </c>
      <c r="V34" s="37" t="s">
        <v>151</v>
      </c>
      <c r="W34" s="69" t="s">
        <v>333</v>
      </c>
      <c r="X34" s="69"/>
      <c r="Y34" s="69"/>
      <c r="Z34" s="46" t="s">
        <v>55</v>
      </c>
      <c r="AA34" s="37" t="s">
        <v>151</v>
      </c>
      <c r="AB34" s="37" t="n">
        <v>149.63</v>
      </c>
      <c r="AC34" s="69"/>
      <c r="AD34" s="69"/>
      <c r="AE34" s="69"/>
      <c r="AF34" s="46" t="s">
        <v>94</v>
      </c>
      <c r="AG34" s="37" t="s">
        <v>151</v>
      </c>
      <c r="AH34" s="90" t="n">
        <v>435.87</v>
      </c>
      <c r="AI34" s="69"/>
      <c r="AJ34" s="69"/>
      <c r="AK34" s="69"/>
      <c r="AL34" s="46" t="s">
        <v>272</v>
      </c>
      <c r="AM34" s="37" t="s">
        <v>151</v>
      </c>
      <c r="AN34" s="37" t="n">
        <v>105.43</v>
      </c>
      <c r="AO34" s="69" t="s">
        <v>344</v>
      </c>
      <c r="AP34" s="69"/>
      <c r="AQ34" s="69"/>
      <c r="AR34" s="46" t="s">
        <v>176</v>
      </c>
      <c r="AS34" s="37" t="s">
        <v>151</v>
      </c>
      <c r="AT34" s="37" t="n">
        <v>48</v>
      </c>
      <c r="AU34" s="69" t="s">
        <v>335</v>
      </c>
      <c r="AV34" s="69"/>
      <c r="AW34" s="69"/>
      <c r="AX34" s="69"/>
      <c r="AY34" s="69"/>
    </row>
    <row r="35" customFormat="false" ht="15" hidden="false" customHeight="false" outlineLevel="0" collapsed="false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47" t="s">
        <v>42</v>
      </c>
      <c r="O35" s="30" t="s">
        <v>151</v>
      </c>
      <c r="P35" s="30" t="n">
        <v>161.73</v>
      </c>
      <c r="Q35" s="69" t="s">
        <v>332</v>
      </c>
      <c r="R35" s="69"/>
      <c r="S35" s="69"/>
      <c r="T35" s="24" t="s">
        <v>84</v>
      </c>
      <c r="U35" s="58"/>
      <c r="V35" s="30" t="n">
        <v>2656.98</v>
      </c>
      <c r="W35" s="69" t="s">
        <v>333</v>
      </c>
      <c r="X35" s="69"/>
      <c r="Y35" s="69"/>
      <c r="Z35" s="47" t="s">
        <v>56</v>
      </c>
      <c r="AA35" s="30" t="s">
        <v>151</v>
      </c>
      <c r="AB35" s="30" t="n">
        <v>157.8</v>
      </c>
      <c r="AC35" s="69"/>
      <c r="AD35" s="69"/>
      <c r="AE35" s="69"/>
      <c r="AF35" s="47" t="s">
        <v>62</v>
      </c>
      <c r="AG35" s="30" t="s">
        <v>151</v>
      </c>
      <c r="AH35" s="30" t="n">
        <v>189.93</v>
      </c>
      <c r="AI35" s="69" t="s">
        <v>332</v>
      </c>
      <c r="AJ35" s="69"/>
      <c r="AK35" s="69"/>
      <c r="AL35" s="24" t="s">
        <v>81</v>
      </c>
      <c r="AM35" s="58"/>
      <c r="AN35" s="30" t="n">
        <v>1065.07</v>
      </c>
      <c r="AO35" s="69" t="s">
        <v>332</v>
      </c>
      <c r="AP35" s="69"/>
      <c r="AQ35" s="69"/>
      <c r="AR35" s="83" t="s">
        <v>134</v>
      </c>
      <c r="AS35" s="30" t="s">
        <v>151</v>
      </c>
      <c r="AT35" s="30" t="n">
        <v>396.68</v>
      </c>
      <c r="AU35" s="69" t="s">
        <v>332</v>
      </c>
      <c r="AV35" s="69" t="s">
        <v>332</v>
      </c>
      <c r="AW35" s="69"/>
      <c r="AX35" s="69"/>
      <c r="AY35" s="69"/>
    </row>
    <row r="36" customFormat="false" ht="15" hidden="false" customHeight="false" outlineLevel="0" collapsed="false">
      <c r="A36" s="69"/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46" t="s">
        <v>279</v>
      </c>
      <c r="O36" s="37" t="s">
        <v>151</v>
      </c>
      <c r="P36" s="37" t="n">
        <v>399.67</v>
      </c>
      <c r="Q36" s="69" t="s">
        <v>332</v>
      </c>
      <c r="R36" s="69"/>
      <c r="S36" s="69"/>
      <c r="T36" s="46" t="s">
        <v>278</v>
      </c>
      <c r="U36" s="37" t="s">
        <v>151</v>
      </c>
      <c r="V36" s="37" t="n">
        <v>20000</v>
      </c>
      <c r="W36" s="69" t="s">
        <v>333</v>
      </c>
      <c r="X36" s="69"/>
      <c r="Y36" s="69"/>
      <c r="Z36" s="46" t="s">
        <v>57</v>
      </c>
      <c r="AA36" s="37" t="s">
        <v>151</v>
      </c>
      <c r="AB36" s="37" t="n">
        <v>7.32</v>
      </c>
      <c r="AC36" s="69" t="s">
        <v>333</v>
      </c>
      <c r="AD36" s="69"/>
      <c r="AE36" s="69"/>
      <c r="AF36" s="46" t="s">
        <v>277</v>
      </c>
      <c r="AG36" s="37" t="n">
        <v>23597.55</v>
      </c>
      <c r="AH36" s="37" t="s">
        <v>151</v>
      </c>
      <c r="AI36" s="69" t="s">
        <v>332</v>
      </c>
      <c r="AJ36" s="69"/>
      <c r="AK36" s="69"/>
      <c r="AL36" s="32" t="s">
        <v>276</v>
      </c>
      <c r="AM36" s="57"/>
      <c r="AN36" s="37" t="n">
        <v>246</v>
      </c>
      <c r="AO36" s="69" t="s">
        <v>332</v>
      </c>
      <c r="AP36" s="69"/>
      <c r="AQ36" s="69"/>
      <c r="AR36" s="46" t="s">
        <v>139</v>
      </c>
      <c r="AS36" s="37" t="n">
        <v>187.54</v>
      </c>
      <c r="AT36" s="37" t="s">
        <v>151</v>
      </c>
      <c r="AU36" s="69" t="s">
        <v>348</v>
      </c>
      <c r="AV36" s="69"/>
      <c r="AW36" s="69"/>
      <c r="AX36" s="69"/>
      <c r="AY36" s="69"/>
    </row>
    <row r="37" customFormat="false" ht="15" hidden="false" customHeight="false" outlineLevel="0" collapsed="false">
      <c r="A37" s="69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47" t="s">
        <v>62</v>
      </c>
      <c r="O37" s="30" t="s">
        <v>151</v>
      </c>
      <c r="P37" s="30" t="n">
        <v>127.23</v>
      </c>
      <c r="Q37" s="69" t="s">
        <v>332</v>
      </c>
      <c r="R37" s="69"/>
      <c r="S37" s="69"/>
      <c r="T37" s="47" t="s">
        <v>278</v>
      </c>
      <c r="U37" s="30" t="s">
        <v>151</v>
      </c>
      <c r="V37" s="30" t="n">
        <v>16000</v>
      </c>
      <c r="W37" s="69" t="s">
        <v>333</v>
      </c>
      <c r="X37" s="69"/>
      <c r="Y37" s="69"/>
      <c r="Z37" s="47" t="s">
        <v>57</v>
      </c>
      <c r="AA37" s="30" t="s">
        <v>151</v>
      </c>
      <c r="AB37" s="30" t="n">
        <v>88.79</v>
      </c>
      <c r="AC37" s="69" t="s">
        <v>333</v>
      </c>
      <c r="AD37" s="69"/>
      <c r="AE37" s="69"/>
      <c r="AF37" s="47" t="s">
        <v>63</v>
      </c>
      <c r="AG37" s="30" t="s">
        <v>151</v>
      </c>
      <c r="AH37" s="30" t="n">
        <v>3767.02</v>
      </c>
      <c r="AI37" s="69" t="s">
        <v>332</v>
      </c>
      <c r="AJ37" s="69"/>
      <c r="AK37" s="69"/>
      <c r="AL37" s="47" t="s">
        <v>281</v>
      </c>
      <c r="AM37" s="30" t="s">
        <v>151</v>
      </c>
      <c r="AN37" s="30" t="n">
        <v>1186.08</v>
      </c>
      <c r="AO37" s="69" t="s">
        <v>332</v>
      </c>
      <c r="AP37" s="69"/>
      <c r="AQ37" s="69"/>
      <c r="AR37" s="47" t="s">
        <v>139</v>
      </c>
      <c r="AS37" s="30" t="s">
        <v>151</v>
      </c>
      <c r="AT37" s="30" t="n">
        <v>357.81</v>
      </c>
      <c r="AU37" s="69" t="s">
        <v>348</v>
      </c>
      <c r="AV37" s="69"/>
      <c r="AW37" s="69"/>
      <c r="AX37" s="69"/>
      <c r="AY37" s="69"/>
    </row>
    <row r="38" customFormat="false" ht="20.25" hidden="false" customHeight="true" outlineLevel="0" collapsed="false">
      <c r="A38" s="69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46" t="s">
        <v>57</v>
      </c>
      <c r="O38" s="37" t="s">
        <v>151</v>
      </c>
      <c r="P38" s="37" t="n">
        <v>7.32</v>
      </c>
      <c r="Q38" s="87" t="s">
        <v>357</v>
      </c>
      <c r="R38" s="69"/>
      <c r="S38" s="69"/>
      <c r="T38" s="32" t="s">
        <v>76</v>
      </c>
      <c r="U38" s="57"/>
      <c r="V38" s="37" t="n">
        <v>1600.27</v>
      </c>
      <c r="W38" s="69" t="s">
        <v>333</v>
      </c>
      <c r="X38" s="69"/>
      <c r="Y38" s="69"/>
      <c r="Z38" s="46" t="s">
        <v>57</v>
      </c>
      <c r="AA38" s="37" t="s">
        <v>151</v>
      </c>
      <c r="AB38" s="37" t="n">
        <v>359.67</v>
      </c>
      <c r="AC38" s="69" t="s">
        <v>333</v>
      </c>
      <c r="AD38" s="69"/>
      <c r="AE38" s="69"/>
      <c r="AF38" s="46" t="s">
        <v>184</v>
      </c>
      <c r="AG38" s="37" t="s">
        <v>151</v>
      </c>
      <c r="AH38" s="37" t="n">
        <v>81.13</v>
      </c>
      <c r="AI38" s="69" t="s">
        <v>332</v>
      </c>
      <c r="AJ38" s="69"/>
      <c r="AK38" s="69"/>
      <c r="AL38" s="46" t="s">
        <v>282</v>
      </c>
      <c r="AM38" s="37" t="n">
        <v>4182</v>
      </c>
      <c r="AN38" s="37" t="s">
        <v>151</v>
      </c>
      <c r="AO38" s="69" t="s">
        <v>332</v>
      </c>
      <c r="AP38" s="69"/>
      <c r="AQ38" s="69"/>
      <c r="AR38" s="46" t="s">
        <v>139</v>
      </c>
      <c r="AS38" s="37" t="s">
        <v>151</v>
      </c>
      <c r="AT38" s="37" t="n">
        <v>200</v>
      </c>
      <c r="AU38" s="69" t="s">
        <v>348</v>
      </c>
      <c r="AV38" s="69"/>
      <c r="AW38" s="69"/>
      <c r="AX38" s="69"/>
      <c r="AY38" s="69"/>
    </row>
    <row r="39" customFormat="false" ht="30.75" hidden="false" customHeight="true" outlineLevel="0" collapsed="false">
      <c r="A39" s="69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47" t="s">
        <v>57</v>
      </c>
      <c r="O39" s="30" t="s">
        <v>151</v>
      </c>
      <c r="P39" s="30" t="n">
        <v>14.46</v>
      </c>
      <c r="Q39" s="87" t="s">
        <v>357</v>
      </c>
      <c r="R39" s="69"/>
      <c r="S39" s="69"/>
      <c r="T39" s="47" t="s">
        <v>233</v>
      </c>
      <c r="U39" s="30" t="s">
        <v>151</v>
      </c>
      <c r="V39" s="30" t="n">
        <v>183.33</v>
      </c>
      <c r="W39" s="69" t="s">
        <v>333</v>
      </c>
      <c r="X39" s="69"/>
      <c r="Y39" s="69"/>
      <c r="Z39" s="47" t="s">
        <v>57</v>
      </c>
      <c r="AA39" s="30" t="s">
        <v>151</v>
      </c>
      <c r="AB39" s="30" t="n">
        <v>221.79</v>
      </c>
      <c r="AC39" s="69" t="s">
        <v>333</v>
      </c>
      <c r="AD39" s="69"/>
      <c r="AE39" s="69"/>
      <c r="AF39" s="47" t="s">
        <v>286</v>
      </c>
      <c r="AG39" s="30" t="s">
        <v>151</v>
      </c>
      <c r="AH39" s="30" t="n">
        <v>322.36</v>
      </c>
      <c r="AI39" s="69"/>
      <c r="AJ39" s="69"/>
      <c r="AK39" s="69"/>
      <c r="AL39" s="24" t="s">
        <v>285</v>
      </c>
      <c r="AM39" s="58"/>
      <c r="AN39" s="30" t="n">
        <v>209.1</v>
      </c>
      <c r="AO39" s="69" t="s">
        <v>332</v>
      </c>
      <c r="AP39" s="69"/>
      <c r="AQ39" s="69"/>
      <c r="AR39" s="83" t="s">
        <v>143</v>
      </c>
      <c r="AS39" s="30" t="s">
        <v>151</v>
      </c>
      <c r="AT39" s="30" t="n">
        <v>243.26</v>
      </c>
      <c r="AU39" s="69" t="s">
        <v>332</v>
      </c>
      <c r="AV39" s="69" t="s">
        <v>332</v>
      </c>
      <c r="AW39" s="69"/>
      <c r="AX39" s="69" t="s">
        <v>358</v>
      </c>
      <c r="AY39" s="69"/>
    </row>
    <row r="40" customFormat="false" ht="20.25" hidden="false" customHeight="true" outlineLevel="0" collapsed="false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46" t="s">
        <v>57</v>
      </c>
      <c r="O40" s="37" t="s">
        <v>151</v>
      </c>
      <c r="P40" s="37" t="n">
        <v>111.39</v>
      </c>
      <c r="Q40" s="87" t="s">
        <v>357</v>
      </c>
      <c r="R40" s="69"/>
      <c r="S40" s="69"/>
      <c r="T40" s="46" t="s">
        <v>39</v>
      </c>
      <c r="U40" s="37" t="s">
        <v>151</v>
      </c>
      <c r="V40" s="37" t="n">
        <v>246</v>
      </c>
      <c r="W40" s="69" t="s">
        <v>333</v>
      </c>
      <c r="X40" s="69"/>
      <c r="Y40" s="69"/>
      <c r="Z40" s="46" t="s">
        <v>58</v>
      </c>
      <c r="AA40" s="37" t="s">
        <v>151</v>
      </c>
      <c r="AB40" s="37" t="n">
        <v>72.57</v>
      </c>
      <c r="AC40" s="69"/>
      <c r="AD40" s="69"/>
      <c r="AE40" s="69"/>
      <c r="AF40" s="46" t="s">
        <v>184</v>
      </c>
      <c r="AG40" s="37" t="s">
        <v>151</v>
      </c>
      <c r="AH40" s="37" t="n">
        <v>313.23</v>
      </c>
      <c r="AI40" s="69" t="s">
        <v>332</v>
      </c>
      <c r="AJ40" s="69"/>
      <c r="AK40" s="69"/>
      <c r="AL40" s="46" t="s">
        <v>272</v>
      </c>
      <c r="AM40" s="37" t="s">
        <v>151</v>
      </c>
      <c r="AN40" s="37" t="n">
        <v>6.5</v>
      </c>
      <c r="AO40" s="69" t="s">
        <v>332</v>
      </c>
      <c r="AP40" s="69"/>
      <c r="AQ40" s="69"/>
      <c r="AR40" s="83" t="s">
        <v>132</v>
      </c>
      <c r="AS40" s="37" t="s">
        <v>151</v>
      </c>
      <c r="AT40" s="37" t="n">
        <v>186.63</v>
      </c>
      <c r="AU40" s="69" t="s">
        <v>332</v>
      </c>
      <c r="AV40" s="69" t="s">
        <v>332</v>
      </c>
      <c r="AW40" s="69"/>
      <c r="AX40" s="69"/>
      <c r="AY40" s="69"/>
    </row>
    <row r="41" customFormat="false" ht="15" hidden="false" customHeight="false" outlineLevel="0" collapsed="false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47" t="s">
        <v>39</v>
      </c>
      <c r="O41" s="30" t="s">
        <v>151</v>
      </c>
      <c r="P41" s="30" t="n">
        <v>246</v>
      </c>
      <c r="Q41" s="69" t="s">
        <v>332</v>
      </c>
      <c r="R41" s="69"/>
      <c r="S41" s="69"/>
      <c r="T41" s="24" t="s">
        <v>77</v>
      </c>
      <c r="U41" s="58"/>
      <c r="V41" s="30" t="n">
        <v>2546.36</v>
      </c>
      <c r="W41" s="69" t="s">
        <v>333</v>
      </c>
      <c r="X41" s="69"/>
      <c r="Y41" s="69"/>
      <c r="Z41" s="47" t="s">
        <v>39</v>
      </c>
      <c r="AA41" s="30" t="s">
        <v>151</v>
      </c>
      <c r="AB41" s="30" t="n">
        <v>246</v>
      </c>
      <c r="AC41" s="69" t="s">
        <v>333</v>
      </c>
      <c r="AD41" s="69"/>
      <c r="AE41" s="69"/>
      <c r="AF41" s="47" t="s">
        <v>259</v>
      </c>
      <c r="AG41" s="30" t="s">
        <v>151</v>
      </c>
      <c r="AH41" s="30" t="n">
        <v>17949.7</v>
      </c>
      <c r="AI41" s="69" t="s">
        <v>332</v>
      </c>
      <c r="AJ41" s="69"/>
      <c r="AK41" s="69"/>
      <c r="AL41" s="47" t="s">
        <v>272</v>
      </c>
      <c r="AM41" s="30" t="s">
        <v>151</v>
      </c>
      <c r="AN41" s="30" t="n">
        <v>6.5</v>
      </c>
      <c r="AO41" s="69" t="s">
        <v>332</v>
      </c>
      <c r="AP41" s="69"/>
      <c r="AQ41" s="69"/>
      <c r="AR41" s="59" t="s">
        <v>144</v>
      </c>
      <c r="AS41" s="60" t="s">
        <v>151</v>
      </c>
      <c r="AT41" s="60" t="n">
        <v>1</v>
      </c>
      <c r="AU41" s="69" t="s">
        <v>335</v>
      </c>
      <c r="AV41" s="69"/>
      <c r="AW41" s="69"/>
      <c r="AX41" s="69"/>
      <c r="AY41" s="69"/>
    </row>
    <row r="42" customFormat="false" ht="15" hidden="false" customHeight="false" outlineLevel="0" collapsed="false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46" t="s">
        <v>106</v>
      </c>
      <c r="O42" s="37" t="s">
        <v>151</v>
      </c>
      <c r="P42" s="37" t="n">
        <v>1890</v>
      </c>
      <c r="Q42" s="69" t="s">
        <v>359</v>
      </c>
      <c r="R42" s="69"/>
      <c r="S42" s="69"/>
      <c r="T42" s="46" t="s">
        <v>86</v>
      </c>
      <c r="U42" s="37" t="s">
        <v>151</v>
      </c>
      <c r="V42" s="37" t="n">
        <v>6150</v>
      </c>
      <c r="W42" s="69" t="s">
        <v>333</v>
      </c>
      <c r="X42" s="69"/>
      <c r="Y42" s="69"/>
      <c r="Z42" s="46" t="s">
        <v>59</v>
      </c>
      <c r="AA42" s="37" t="s">
        <v>151</v>
      </c>
      <c r="AB42" s="37" t="n">
        <v>1924.95</v>
      </c>
      <c r="AC42" s="69" t="s">
        <v>333</v>
      </c>
      <c r="AD42" s="69"/>
      <c r="AE42" s="69"/>
      <c r="AF42" s="46" t="s">
        <v>239</v>
      </c>
      <c r="AG42" s="37" t="s">
        <v>151</v>
      </c>
      <c r="AH42" s="90" t="n">
        <v>1121.06</v>
      </c>
      <c r="AI42" s="69" t="s">
        <v>332</v>
      </c>
      <c r="AJ42" s="69"/>
      <c r="AK42" s="69"/>
      <c r="AL42" s="41" t="s">
        <v>218</v>
      </c>
      <c r="AM42" s="57"/>
      <c r="AN42" s="89" t="n">
        <v>3526.07</v>
      </c>
      <c r="AO42" s="69" t="s">
        <v>332</v>
      </c>
      <c r="AP42" s="69"/>
      <c r="AQ42" s="69"/>
      <c r="AR42" s="91" t="s">
        <v>290</v>
      </c>
      <c r="AS42" s="62" t="s">
        <v>151</v>
      </c>
      <c r="AT42" s="62" t="n">
        <v>84.49</v>
      </c>
      <c r="AU42" s="69" t="s">
        <v>332</v>
      </c>
      <c r="AV42" s="69" t="s">
        <v>332</v>
      </c>
      <c r="AW42" s="69"/>
      <c r="AX42" s="69"/>
      <c r="AY42" s="69"/>
    </row>
    <row r="43" customFormat="false" ht="15" hidden="false" customHeight="false" outlineLevel="0" collapsed="false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47" t="s">
        <v>74</v>
      </c>
      <c r="O43" s="30" t="s">
        <v>151</v>
      </c>
      <c r="P43" s="30" t="n">
        <v>310.91</v>
      </c>
      <c r="Q43" s="69" t="s">
        <v>332</v>
      </c>
      <c r="R43" s="69"/>
      <c r="S43" s="69"/>
      <c r="T43" s="47" t="s">
        <v>62</v>
      </c>
      <c r="U43" s="30" t="s">
        <v>151</v>
      </c>
      <c r="V43" s="30" t="n">
        <v>108.43</v>
      </c>
      <c r="W43" s="69" t="s">
        <v>333</v>
      </c>
      <c r="X43" s="69"/>
      <c r="Y43" s="69"/>
      <c r="Z43" s="47" t="s">
        <v>60</v>
      </c>
      <c r="AA43" s="30" t="s">
        <v>151</v>
      </c>
      <c r="AB43" s="30" t="n">
        <v>81.52</v>
      </c>
      <c r="AC43" s="69" t="s">
        <v>333</v>
      </c>
      <c r="AD43" s="69"/>
      <c r="AE43" s="69"/>
      <c r="AF43" s="69"/>
      <c r="AG43" s="69"/>
      <c r="AH43" s="69"/>
      <c r="AI43" s="69"/>
      <c r="AJ43" s="69"/>
      <c r="AK43" s="69"/>
      <c r="AL43" s="24" t="s">
        <v>294</v>
      </c>
      <c r="AM43" s="25" t="n">
        <v>20731.65</v>
      </c>
      <c r="AN43" s="25" t="s">
        <v>151</v>
      </c>
      <c r="AO43" s="69" t="s">
        <v>332</v>
      </c>
      <c r="AP43" s="69"/>
      <c r="AQ43" s="69"/>
      <c r="AR43" s="91" t="s">
        <v>139</v>
      </c>
      <c r="AS43" s="60" t="s">
        <v>151</v>
      </c>
      <c r="AT43" s="60" t="n">
        <v>174</v>
      </c>
      <c r="AU43" s="69" t="s">
        <v>332</v>
      </c>
      <c r="AV43" s="69" t="s">
        <v>332</v>
      </c>
      <c r="AW43" s="69"/>
      <c r="AX43" s="69"/>
      <c r="AY43" s="69"/>
    </row>
    <row r="44" customFormat="false" ht="15" hidden="false" customHeight="false" outlineLevel="0" collapsed="false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46" t="s">
        <v>107</v>
      </c>
      <c r="O44" s="37" t="n">
        <v>1929.5</v>
      </c>
      <c r="P44" s="37" t="s">
        <v>151</v>
      </c>
      <c r="Q44" s="69" t="s">
        <v>332</v>
      </c>
      <c r="R44" s="69"/>
      <c r="S44" s="69"/>
      <c r="T44" s="32" t="s">
        <v>87</v>
      </c>
      <c r="U44" s="57"/>
      <c r="V44" s="37" t="n">
        <v>1650</v>
      </c>
      <c r="W44" s="69" t="s">
        <v>355</v>
      </c>
      <c r="X44" s="69"/>
      <c r="Y44" s="69"/>
      <c r="Z44" s="46" t="s">
        <v>61</v>
      </c>
      <c r="AA44" s="37" t="s">
        <v>151</v>
      </c>
      <c r="AB44" s="37" t="n">
        <v>51</v>
      </c>
      <c r="AC44" s="69" t="s">
        <v>360</v>
      </c>
      <c r="AD44" s="69"/>
      <c r="AE44" s="69"/>
      <c r="AF44" s="69"/>
      <c r="AG44" s="69"/>
      <c r="AH44" s="69"/>
      <c r="AI44" s="69"/>
      <c r="AJ44" s="69"/>
      <c r="AK44" s="69"/>
      <c r="AL44" s="46" t="s">
        <v>169</v>
      </c>
      <c r="AM44" s="37" t="s">
        <v>151</v>
      </c>
      <c r="AN44" s="37" t="n">
        <v>9.96</v>
      </c>
      <c r="AO44" s="69" t="s">
        <v>332</v>
      </c>
      <c r="AP44" s="69"/>
      <c r="AQ44" s="69"/>
      <c r="AR44" s="61" t="s">
        <v>295</v>
      </c>
      <c r="AS44" s="62" t="s">
        <v>151</v>
      </c>
      <c r="AT44" s="62" t="n">
        <v>36.12</v>
      </c>
      <c r="AU44" s="69" t="s">
        <v>348</v>
      </c>
      <c r="AV44" s="69"/>
      <c r="AW44" s="69"/>
      <c r="AX44" s="69"/>
      <c r="AY44" s="69"/>
    </row>
    <row r="45" customFormat="false" ht="15" hidden="false" customHeight="false" outlineLevel="0" collapsed="false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47" t="s">
        <v>108</v>
      </c>
      <c r="O45" s="30" t="s">
        <v>151</v>
      </c>
      <c r="P45" s="30" t="n">
        <v>159.98</v>
      </c>
      <c r="Q45" s="69" t="s">
        <v>332</v>
      </c>
      <c r="R45" s="69"/>
      <c r="S45" s="69"/>
      <c r="T45" s="24" t="s">
        <v>84</v>
      </c>
      <c r="U45" s="58"/>
      <c r="V45" s="30" t="n">
        <v>2919.06</v>
      </c>
      <c r="W45" s="69" t="s">
        <v>333</v>
      </c>
      <c r="X45" s="69"/>
      <c r="Y45" s="69"/>
      <c r="Z45" s="47" t="s">
        <v>62</v>
      </c>
      <c r="AA45" s="30" t="s">
        <v>151</v>
      </c>
      <c r="AB45" s="30" t="n">
        <v>155.43</v>
      </c>
      <c r="AC45" s="69" t="s">
        <v>333</v>
      </c>
      <c r="AD45" s="69"/>
      <c r="AE45" s="69"/>
      <c r="AF45" s="69"/>
      <c r="AG45" s="69"/>
      <c r="AH45" s="69"/>
      <c r="AI45" s="69"/>
      <c r="AJ45" s="69"/>
      <c r="AK45" s="69"/>
      <c r="AL45" s="47" t="s">
        <v>296</v>
      </c>
      <c r="AM45" s="30" t="n">
        <v>18646.8</v>
      </c>
      <c r="AN45" s="30" t="s">
        <v>151</v>
      </c>
      <c r="AO45" s="69" t="s">
        <v>332</v>
      </c>
      <c r="AP45" s="69"/>
      <c r="AQ45" s="69"/>
      <c r="AR45" s="91" t="s">
        <v>146</v>
      </c>
      <c r="AS45" s="60" t="s">
        <v>151</v>
      </c>
      <c r="AT45" s="60" t="n">
        <v>223.9</v>
      </c>
      <c r="AU45" s="69" t="s">
        <v>332</v>
      </c>
      <c r="AV45" s="69" t="s">
        <v>332</v>
      </c>
      <c r="AW45" s="69"/>
      <c r="AX45" s="69"/>
      <c r="AY45" s="69"/>
    </row>
    <row r="46" customFormat="false" ht="15" hidden="false" customHeight="false" outlineLevel="0" collapsed="false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46" t="s">
        <v>109</v>
      </c>
      <c r="O46" s="37" t="s">
        <v>151</v>
      </c>
      <c r="P46" s="37" t="n">
        <v>147.94</v>
      </c>
      <c r="Q46" s="69" t="s">
        <v>332</v>
      </c>
      <c r="R46" s="69"/>
      <c r="S46" s="69"/>
      <c r="T46" s="32" t="s">
        <v>88</v>
      </c>
      <c r="U46" s="57"/>
      <c r="V46" s="37" t="n">
        <v>1250</v>
      </c>
      <c r="W46" s="69" t="s">
        <v>333</v>
      </c>
      <c r="X46" s="69"/>
      <c r="Y46" s="69"/>
      <c r="Z46" s="46" t="s">
        <v>63</v>
      </c>
      <c r="AA46" s="37" t="s">
        <v>151</v>
      </c>
      <c r="AB46" s="37" t="n">
        <v>1600.28</v>
      </c>
      <c r="AC46" s="69" t="s">
        <v>339</v>
      </c>
      <c r="AD46" s="69"/>
      <c r="AE46" s="69"/>
      <c r="AF46" s="69"/>
      <c r="AG46" s="69"/>
      <c r="AH46" s="69"/>
      <c r="AI46" s="69"/>
      <c r="AJ46" s="69"/>
      <c r="AK46" s="69"/>
      <c r="AL46" s="32" t="s">
        <v>198</v>
      </c>
      <c r="AM46" s="57"/>
      <c r="AN46" s="37" t="n">
        <v>3816</v>
      </c>
      <c r="AO46" s="69" t="s">
        <v>332</v>
      </c>
      <c r="AP46" s="69"/>
      <c r="AQ46" s="69"/>
      <c r="AR46" s="61" t="s">
        <v>147</v>
      </c>
      <c r="AS46" s="62" t="n">
        <v>1045.5</v>
      </c>
      <c r="AT46" s="62" t="s">
        <v>151</v>
      </c>
      <c r="AU46" s="69" t="s">
        <v>332</v>
      </c>
      <c r="AV46" s="69" t="s">
        <v>332</v>
      </c>
      <c r="AW46" s="69"/>
      <c r="AX46" s="69"/>
      <c r="AY46" s="69"/>
    </row>
    <row r="47" customFormat="false" ht="15" hidden="false" customHeight="false" outlineLevel="0" collapsed="false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47" t="s">
        <v>42</v>
      </c>
      <c r="O47" s="30" t="s">
        <v>151</v>
      </c>
      <c r="P47" s="30" t="n">
        <v>54.44</v>
      </c>
      <c r="Q47" s="69" t="s">
        <v>332</v>
      </c>
      <c r="R47" s="69"/>
      <c r="S47" s="69"/>
      <c r="T47" s="47" t="s">
        <v>89</v>
      </c>
      <c r="U47" s="30" t="s">
        <v>151</v>
      </c>
      <c r="V47" s="30" t="n">
        <v>1250</v>
      </c>
      <c r="W47" s="69" t="s">
        <v>333</v>
      </c>
      <c r="X47" s="69"/>
      <c r="Y47" s="69"/>
      <c r="Z47" s="47" t="s">
        <v>64</v>
      </c>
      <c r="AA47" s="30" t="s">
        <v>151</v>
      </c>
      <c r="AB47" s="30" t="n">
        <v>731.85</v>
      </c>
      <c r="AC47" s="69" t="s">
        <v>333</v>
      </c>
      <c r="AD47" s="69"/>
      <c r="AE47" s="69"/>
      <c r="AF47" s="69"/>
      <c r="AG47" s="69"/>
      <c r="AH47" s="69"/>
      <c r="AI47" s="69"/>
      <c r="AJ47" s="69"/>
      <c r="AK47" s="69"/>
      <c r="AL47" s="24" t="s">
        <v>218</v>
      </c>
      <c r="AM47" s="58"/>
      <c r="AN47" s="30" t="n">
        <v>307.5</v>
      </c>
      <c r="AO47" s="69" t="s">
        <v>332</v>
      </c>
      <c r="AP47" s="69"/>
      <c r="AQ47" s="69"/>
      <c r="AR47" s="92" t="s">
        <v>135</v>
      </c>
      <c r="AS47" s="93"/>
      <c r="AT47" s="60" t="n">
        <v>642.34</v>
      </c>
      <c r="AU47" s="69" t="s">
        <v>340</v>
      </c>
      <c r="AV47" s="69"/>
      <c r="AW47" s="69"/>
      <c r="AX47" s="69"/>
      <c r="AY47" s="69"/>
    </row>
    <row r="48" customFormat="false" ht="15" hidden="false" customHeight="false" outlineLevel="0" collapsed="false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46" t="s">
        <v>110</v>
      </c>
      <c r="O48" s="37" t="s">
        <v>151</v>
      </c>
      <c r="P48" s="37" t="n">
        <v>118.65</v>
      </c>
      <c r="Q48" s="69" t="s">
        <v>332</v>
      </c>
      <c r="R48" s="69"/>
      <c r="S48" s="69"/>
      <c r="T48" s="46" t="s">
        <v>90</v>
      </c>
      <c r="U48" s="37" t="s">
        <v>151</v>
      </c>
      <c r="V48" s="37" t="n">
        <v>117.98</v>
      </c>
      <c r="W48" s="69" t="s">
        <v>333</v>
      </c>
      <c r="X48" s="69"/>
      <c r="Y48" s="69"/>
      <c r="Z48" s="46" t="s">
        <v>65</v>
      </c>
      <c r="AA48" s="37" t="s">
        <v>151</v>
      </c>
      <c r="AB48" s="37" t="n">
        <v>2546.35</v>
      </c>
      <c r="AC48" s="69" t="s">
        <v>339</v>
      </c>
      <c r="AD48" s="69"/>
      <c r="AE48" s="69"/>
      <c r="AF48" s="69"/>
      <c r="AG48" s="69"/>
      <c r="AH48" s="69"/>
      <c r="AI48" s="69"/>
      <c r="AJ48" s="69"/>
      <c r="AK48" s="69"/>
      <c r="AL48" s="46" t="s">
        <v>62</v>
      </c>
      <c r="AM48" s="37" t="s">
        <v>151</v>
      </c>
      <c r="AN48" s="37" t="n">
        <v>39.2</v>
      </c>
      <c r="AO48" s="69" t="s">
        <v>332</v>
      </c>
      <c r="AP48" s="69"/>
      <c r="AQ48" s="69"/>
      <c r="AR48" s="69"/>
      <c r="AS48" s="69"/>
      <c r="AT48" s="69"/>
      <c r="AU48" s="69"/>
      <c r="AV48" s="69"/>
      <c r="AW48" s="69"/>
      <c r="AX48" s="69"/>
      <c r="AY48" s="69"/>
    </row>
    <row r="49" customFormat="false" ht="30.75" hidden="false" customHeight="true" outlineLevel="0" collapsed="false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47" t="s">
        <v>57</v>
      </c>
      <c r="O49" s="30" t="s">
        <v>151</v>
      </c>
      <c r="P49" s="30" t="n">
        <v>7.32</v>
      </c>
      <c r="Q49" s="87" t="s">
        <v>357</v>
      </c>
      <c r="R49" s="69"/>
      <c r="S49" s="69"/>
      <c r="T49" s="47" t="s">
        <v>90</v>
      </c>
      <c r="U49" s="30" t="s">
        <v>151</v>
      </c>
      <c r="V49" s="30" t="n">
        <v>120.05</v>
      </c>
      <c r="W49" s="69" t="s">
        <v>333</v>
      </c>
      <c r="X49" s="69"/>
      <c r="Y49" s="69"/>
      <c r="Z49" s="47" t="s">
        <v>65</v>
      </c>
      <c r="AA49" s="30" t="s">
        <v>151</v>
      </c>
      <c r="AB49" s="30" t="n">
        <v>2561.91</v>
      </c>
      <c r="AC49" s="69" t="s">
        <v>339</v>
      </c>
      <c r="AD49" s="69"/>
      <c r="AE49" s="69"/>
      <c r="AF49" s="69"/>
      <c r="AG49" s="69"/>
      <c r="AH49" s="69"/>
      <c r="AI49" s="69"/>
      <c r="AJ49" s="69"/>
      <c r="AK49" s="69"/>
      <c r="AL49" s="47" t="s">
        <v>167</v>
      </c>
      <c r="AM49" s="30" t="s">
        <v>151</v>
      </c>
      <c r="AN49" s="30" t="n">
        <v>1214.27</v>
      </c>
      <c r="AO49" s="69" t="s">
        <v>361</v>
      </c>
      <c r="AP49" s="69"/>
      <c r="AQ49" s="69"/>
      <c r="AR49" s="69"/>
      <c r="AS49" s="69"/>
      <c r="AT49" s="69"/>
      <c r="AU49" s="69"/>
      <c r="AV49" s="69"/>
      <c r="AW49" s="69"/>
      <c r="AX49" s="69"/>
      <c r="AY49" s="69"/>
    </row>
    <row r="50" customFormat="false" ht="20.25" hidden="false" customHeight="true" outlineLevel="0" collapsed="false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46" t="s">
        <v>57</v>
      </c>
      <c r="O50" s="37" t="s">
        <v>151</v>
      </c>
      <c r="P50" s="37" t="n">
        <v>11.22</v>
      </c>
      <c r="Q50" s="87" t="s">
        <v>357</v>
      </c>
      <c r="R50" s="69"/>
      <c r="S50" s="69"/>
      <c r="T50" s="46" t="s">
        <v>90</v>
      </c>
      <c r="U50" s="37" t="s">
        <v>151</v>
      </c>
      <c r="V50" s="37" t="n">
        <v>3689.98</v>
      </c>
      <c r="W50" s="69" t="s">
        <v>333</v>
      </c>
      <c r="X50" s="69"/>
      <c r="Y50" s="69"/>
      <c r="Z50" s="46" t="s">
        <v>65</v>
      </c>
      <c r="AA50" s="37" t="s">
        <v>151</v>
      </c>
      <c r="AB50" s="37" t="n">
        <v>10420.8</v>
      </c>
      <c r="AC50" s="69" t="s">
        <v>339</v>
      </c>
      <c r="AD50" s="69"/>
      <c r="AE50" s="69"/>
      <c r="AF50" s="69"/>
      <c r="AG50" s="69"/>
      <c r="AH50" s="69"/>
      <c r="AI50" s="69"/>
      <c r="AJ50" s="69"/>
      <c r="AK50" s="69"/>
      <c r="AL50" s="32" t="s">
        <v>81</v>
      </c>
      <c r="AM50" s="57"/>
      <c r="AN50" s="37" t="n">
        <v>1065.09</v>
      </c>
      <c r="AO50" s="69" t="s">
        <v>332</v>
      </c>
      <c r="AP50" s="69"/>
      <c r="AQ50" s="69"/>
      <c r="AR50" s="69"/>
      <c r="AS50" s="69"/>
      <c r="AT50" s="69"/>
      <c r="AU50" s="69"/>
      <c r="AV50" s="69"/>
      <c r="AW50" s="69"/>
      <c r="AX50" s="69"/>
      <c r="AY50" s="69"/>
    </row>
    <row r="51" customFormat="false" ht="20.25" hidden="false" customHeight="true" outlineLevel="0" collapsed="false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47" t="s">
        <v>57</v>
      </c>
      <c r="O51" s="30" t="s">
        <v>151</v>
      </c>
      <c r="P51" s="30" t="n">
        <v>10.53</v>
      </c>
      <c r="Q51" s="87" t="s">
        <v>357</v>
      </c>
      <c r="R51" s="69"/>
      <c r="S51" s="69"/>
      <c r="T51" s="24" t="s">
        <v>91</v>
      </c>
      <c r="U51" s="58"/>
      <c r="V51" s="30" t="n">
        <v>365.27</v>
      </c>
      <c r="W51" s="69" t="s">
        <v>328</v>
      </c>
      <c r="X51" s="69"/>
      <c r="Y51" s="69"/>
      <c r="Z51" s="47" t="s">
        <v>52</v>
      </c>
      <c r="AA51" s="30" t="s">
        <v>151</v>
      </c>
      <c r="AB51" s="30" t="n">
        <v>680.87</v>
      </c>
      <c r="AC51" s="69" t="s">
        <v>339</v>
      </c>
      <c r="AD51" s="69"/>
      <c r="AE51" s="69"/>
      <c r="AF51" s="69"/>
      <c r="AG51" s="69"/>
      <c r="AH51" s="69"/>
      <c r="AI51" s="69"/>
      <c r="AJ51" s="69"/>
      <c r="AK51" s="69"/>
      <c r="AL51" s="69"/>
      <c r="AM51" s="69"/>
      <c r="AN51" s="69"/>
      <c r="AO51" s="69"/>
      <c r="AP51" s="69"/>
      <c r="AQ51" s="69"/>
      <c r="AR51" s="69"/>
      <c r="AS51" s="69"/>
      <c r="AT51" s="69"/>
      <c r="AU51" s="69"/>
      <c r="AV51" s="69"/>
      <c r="AW51" s="69"/>
      <c r="AX51" s="69"/>
      <c r="AY51" s="69"/>
    </row>
    <row r="52" customFormat="false" ht="15" hidden="false" customHeight="false" outlineLevel="0" collapsed="false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46" t="s">
        <v>111</v>
      </c>
      <c r="O52" s="37" t="s">
        <v>151</v>
      </c>
      <c r="P52" s="37" t="n">
        <v>2271</v>
      </c>
      <c r="Q52" s="69" t="s">
        <v>332</v>
      </c>
      <c r="R52" s="69"/>
      <c r="S52" s="69"/>
      <c r="T52" s="32" t="s">
        <v>68</v>
      </c>
      <c r="U52" s="57"/>
      <c r="V52" s="37" t="n">
        <v>130</v>
      </c>
      <c r="W52" s="69" t="s">
        <v>333</v>
      </c>
      <c r="X52" s="69"/>
      <c r="Y52" s="69"/>
      <c r="Z52" s="46" t="s">
        <v>66</v>
      </c>
      <c r="AA52" s="37" t="s">
        <v>151</v>
      </c>
      <c r="AB52" s="37" t="n">
        <v>1</v>
      </c>
      <c r="AC52" s="69" t="s">
        <v>333</v>
      </c>
      <c r="AD52" s="69"/>
      <c r="AE52" s="69"/>
      <c r="AF52" s="69"/>
      <c r="AG52" s="69"/>
      <c r="AH52" s="69"/>
      <c r="AI52" s="69"/>
      <c r="AJ52" s="69"/>
      <c r="AK52" s="69"/>
      <c r="AL52" s="69"/>
      <c r="AM52" s="69"/>
      <c r="AN52" s="69"/>
      <c r="AO52" s="69"/>
      <c r="AP52" s="69"/>
      <c r="AQ52" s="69"/>
      <c r="AR52" s="69"/>
      <c r="AS52" s="69"/>
      <c r="AT52" s="69"/>
      <c r="AU52" s="69"/>
      <c r="AV52" s="69"/>
      <c r="AW52" s="69"/>
      <c r="AX52" s="69"/>
      <c r="AY52" s="69"/>
    </row>
    <row r="53" customFormat="false" ht="15" hidden="false" customHeight="false" outlineLevel="0" collapsed="false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47" t="s">
        <v>111</v>
      </c>
      <c r="O53" s="30" t="s">
        <v>151</v>
      </c>
      <c r="P53" s="30" t="n">
        <v>680.87</v>
      </c>
      <c r="Q53" s="69" t="s">
        <v>332</v>
      </c>
      <c r="R53" s="69"/>
      <c r="S53" s="69"/>
      <c r="T53" s="47" t="s">
        <v>92</v>
      </c>
      <c r="U53" s="30" t="n">
        <v>10000</v>
      </c>
      <c r="V53" s="30" t="s">
        <v>151</v>
      </c>
      <c r="W53" s="69" t="s">
        <v>333</v>
      </c>
      <c r="X53" s="69"/>
      <c r="Y53" s="69"/>
      <c r="Z53" s="47" t="s">
        <v>67</v>
      </c>
      <c r="AA53" s="30" t="s">
        <v>151</v>
      </c>
      <c r="AB53" s="30" t="n">
        <v>40</v>
      </c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</row>
    <row r="54" customFormat="false" ht="15" hidden="false" customHeight="false" outlineLevel="0" collapsed="false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46" t="s">
        <v>98</v>
      </c>
      <c r="O54" s="37" t="s">
        <v>151</v>
      </c>
      <c r="P54" s="37" t="n">
        <v>1250</v>
      </c>
      <c r="Q54" s="69" t="s">
        <v>332</v>
      </c>
      <c r="R54" s="69"/>
      <c r="S54" s="69"/>
      <c r="T54" s="32" t="s">
        <v>76</v>
      </c>
      <c r="U54" s="57"/>
      <c r="V54" s="37" t="n">
        <v>1600.28</v>
      </c>
      <c r="W54" s="69" t="s">
        <v>333</v>
      </c>
      <c r="X54" s="69"/>
      <c r="Y54" s="69"/>
      <c r="Z54" s="46" t="s">
        <v>68</v>
      </c>
      <c r="AA54" s="37" t="s">
        <v>151</v>
      </c>
      <c r="AB54" s="37" t="n">
        <v>157</v>
      </c>
      <c r="AC54" s="69" t="s">
        <v>333</v>
      </c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</row>
    <row r="55" customFormat="false" ht="15" hidden="false" customHeight="false" outlineLevel="0" collapsed="false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47" t="s">
        <v>97</v>
      </c>
      <c r="O55" s="30" t="s">
        <v>151</v>
      </c>
      <c r="P55" s="30" t="n">
        <v>1250</v>
      </c>
      <c r="Q55" s="69" t="s">
        <v>332</v>
      </c>
      <c r="R55" s="69"/>
      <c r="S55" s="69"/>
      <c r="T55" s="24" t="s">
        <v>77</v>
      </c>
      <c r="U55" s="58"/>
      <c r="V55" s="30" t="n">
        <v>3235.59</v>
      </c>
      <c r="W55" s="69" t="s">
        <v>333</v>
      </c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</row>
    <row r="56" customFormat="false" ht="15" hidden="false" customHeight="false" outlineLevel="0" collapsed="false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46" t="s">
        <v>97</v>
      </c>
      <c r="O56" s="37" t="s">
        <v>151</v>
      </c>
      <c r="P56" s="37" t="n">
        <v>1250</v>
      </c>
      <c r="Q56" s="69" t="s">
        <v>332</v>
      </c>
      <c r="R56" s="69"/>
      <c r="S56" s="69"/>
      <c r="T56" s="32" t="s">
        <v>77</v>
      </c>
      <c r="U56" s="57"/>
      <c r="V56" s="37" t="n">
        <v>4363.35</v>
      </c>
      <c r="W56" s="69" t="s">
        <v>333</v>
      </c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</row>
    <row r="57" customFormat="false" ht="15" hidden="false" customHeight="false" outlineLevel="0" collapsed="false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47" t="s">
        <v>99</v>
      </c>
      <c r="O57" s="30" t="s">
        <v>151</v>
      </c>
      <c r="P57" s="30" t="n">
        <v>9.96</v>
      </c>
      <c r="Q57" s="69" t="s">
        <v>332</v>
      </c>
      <c r="R57" s="69"/>
      <c r="S57" s="69"/>
      <c r="T57" s="24" t="s">
        <v>81</v>
      </c>
      <c r="U57" s="58"/>
      <c r="V57" s="30" t="n">
        <v>680.87</v>
      </c>
      <c r="W57" s="69" t="s">
        <v>333</v>
      </c>
      <c r="X57" s="69"/>
      <c r="Y57" s="69"/>
      <c r="Z57" s="69"/>
      <c r="AA57" s="69"/>
      <c r="AB57" s="69"/>
      <c r="AC57" s="69"/>
      <c r="AD57" s="69"/>
      <c r="AE57" s="69"/>
      <c r="AF57" s="69"/>
      <c r="AG57" s="69"/>
      <c r="AH57" s="69"/>
      <c r="AI57" s="69"/>
      <c r="AJ57" s="69"/>
      <c r="AK57" s="69"/>
      <c r="AL57" s="69"/>
      <c r="AM57" s="69"/>
      <c r="AN57" s="69"/>
      <c r="AO57" s="69"/>
      <c r="AP57" s="69"/>
      <c r="AQ57" s="69"/>
      <c r="AR57" s="69"/>
      <c r="AS57" s="69"/>
      <c r="AT57" s="69"/>
      <c r="AU57" s="69"/>
      <c r="AV57" s="69"/>
      <c r="AW57" s="69"/>
      <c r="AX57" s="69"/>
      <c r="AY57" s="69"/>
    </row>
    <row r="58" customFormat="false" ht="15" hidden="false" customHeight="false" outlineLevel="0" collapsed="false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46" t="s">
        <v>112</v>
      </c>
      <c r="O58" s="37" t="s">
        <v>151</v>
      </c>
      <c r="P58" s="37" t="n">
        <v>226.02</v>
      </c>
      <c r="Q58" s="69" t="s">
        <v>359</v>
      </c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  <c r="AI58" s="69"/>
      <c r="AJ58" s="69"/>
      <c r="AK58" s="69"/>
      <c r="AL58" s="69"/>
      <c r="AM58" s="69"/>
      <c r="AN58" s="69"/>
      <c r="AO58" s="69"/>
      <c r="AP58" s="69"/>
      <c r="AQ58" s="69"/>
      <c r="AR58" s="69"/>
      <c r="AS58" s="69"/>
      <c r="AT58" s="69"/>
      <c r="AU58" s="69"/>
      <c r="AV58" s="69"/>
      <c r="AW58" s="69"/>
      <c r="AX58" s="69"/>
      <c r="AY58" s="69"/>
    </row>
    <row r="59" customFormat="false" ht="15" hidden="false" customHeight="false" outlineLevel="0" collapsed="false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47" t="s">
        <v>42</v>
      </c>
      <c r="O59" s="30" t="s">
        <v>151</v>
      </c>
      <c r="P59" s="30" t="n">
        <v>58.31</v>
      </c>
      <c r="Q59" s="69" t="s">
        <v>332</v>
      </c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69"/>
      <c r="AF59" s="69"/>
      <c r="AG59" s="69"/>
      <c r="AH59" s="69"/>
      <c r="AI59" s="69"/>
      <c r="AJ59" s="69"/>
      <c r="AK59" s="69"/>
      <c r="AL59" s="69"/>
      <c r="AM59" s="69"/>
      <c r="AN59" s="69"/>
      <c r="AO59" s="69"/>
      <c r="AP59" s="69"/>
      <c r="AQ59" s="69"/>
      <c r="AR59" s="69"/>
      <c r="AS59" s="69"/>
      <c r="AT59" s="69"/>
      <c r="AU59" s="69"/>
      <c r="AV59" s="69"/>
      <c r="AW59" s="69"/>
      <c r="AX59" s="69"/>
      <c r="AY59" s="69"/>
    </row>
    <row r="60" customFormat="false" ht="15" hidden="false" customHeight="false" outlineLevel="0" collapsed="false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46" t="s">
        <v>113</v>
      </c>
      <c r="O60" s="37" t="s">
        <v>151</v>
      </c>
      <c r="P60" s="37" t="n">
        <v>79.95</v>
      </c>
      <c r="Q60" s="69" t="s">
        <v>332</v>
      </c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  <c r="AE60" s="69"/>
      <c r="AF60" s="69"/>
      <c r="AG60" s="69"/>
      <c r="AH60" s="69"/>
      <c r="AI60" s="69"/>
      <c r="AJ60" s="69"/>
      <c r="AK60" s="69"/>
      <c r="AL60" s="69"/>
      <c r="AM60" s="69"/>
      <c r="AN60" s="69"/>
      <c r="AO60" s="69"/>
      <c r="AP60" s="69"/>
      <c r="AQ60" s="69"/>
      <c r="AR60" s="69"/>
      <c r="AS60" s="69"/>
      <c r="AT60" s="69"/>
      <c r="AU60" s="69"/>
      <c r="AV60" s="69"/>
      <c r="AW60" s="69"/>
      <c r="AX60" s="69"/>
      <c r="AY60" s="69"/>
    </row>
    <row r="61" customFormat="false" ht="15" hidden="false" customHeight="false" outlineLevel="0" collapsed="false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47" t="s">
        <v>95</v>
      </c>
      <c r="O61" s="30" t="n">
        <v>4797</v>
      </c>
      <c r="P61" s="30" t="s">
        <v>151</v>
      </c>
      <c r="Q61" s="69" t="s">
        <v>332</v>
      </c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  <c r="AE61" s="69"/>
      <c r="AF61" s="69"/>
      <c r="AG61" s="69"/>
      <c r="AH61" s="69"/>
      <c r="AI61" s="69"/>
      <c r="AJ61" s="69"/>
      <c r="AK61" s="69"/>
      <c r="AL61" s="69"/>
      <c r="AM61" s="69"/>
      <c r="AN61" s="69"/>
      <c r="AO61" s="69"/>
      <c r="AP61" s="69"/>
      <c r="AQ61" s="69"/>
      <c r="AR61" s="69"/>
      <c r="AS61" s="69"/>
      <c r="AT61" s="69"/>
      <c r="AU61" s="69"/>
      <c r="AV61" s="69"/>
      <c r="AW61" s="69"/>
      <c r="AX61" s="69"/>
      <c r="AY61" s="69"/>
    </row>
    <row r="62" customFormat="false" ht="15" hidden="false" customHeight="false" outlineLevel="0" collapsed="false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46" t="s">
        <v>100</v>
      </c>
      <c r="O62" s="37" t="s">
        <v>151</v>
      </c>
      <c r="P62" s="37" t="n">
        <v>48</v>
      </c>
      <c r="Q62" s="69" t="s">
        <v>351</v>
      </c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  <c r="AE62" s="69"/>
      <c r="AF62" s="69"/>
      <c r="AG62" s="69"/>
      <c r="AH62" s="69"/>
      <c r="AI62" s="69"/>
      <c r="AJ62" s="69"/>
      <c r="AK62" s="69"/>
      <c r="AL62" s="69"/>
      <c r="AM62" s="69"/>
      <c r="AN62" s="69"/>
      <c r="AO62" s="69"/>
      <c r="AP62" s="69"/>
      <c r="AQ62" s="69"/>
      <c r="AR62" s="69"/>
      <c r="AS62" s="69"/>
      <c r="AT62" s="69"/>
      <c r="AU62" s="69"/>
      <c r="AV62" s="69"/>
      <c r="AW62" s="69"/>
      <c r="AX62" s="69"/>
      <c r="AY62" s="69"/>
    </row>
    <row r="63" customFormat="false" ht="15" hidden="false" customHeight="false" outlineLevel="0" collapsed="false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47" t="s">
        <v>42</v>
      </c>
      <c r="O63" s="30" t="s">
        <v>151</v>
      </c>
      <c r="P63" s="30" t="n">
        <v>8.37</v>
      </c>
      <c r="Q63" s="69" t="s">
        <v>332</v>
      </c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</row>
    <row r="64" customFormat="false" ht="15" hidden="false" customHeight="false" outlineLevel="0" collapsed="false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46" t="s">
        <v>311</v>
      </c>
      <c r="O64" s="37" t="s">
        <v>151</v>
      </c>
      <c r="P64" s="37" t="n">
        <v>89.13</v>
      </c>
      <c r="Q64" s="69" t="s">
        <v>332</v>
      </c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</row>
    <row r="65" customFormat="false" ht="15" hidden="false" customHeight="false" outlineLevel="0" collapsed="false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47" t="s">
        <v>115</v>
      </c>
      <c r="O65" s="30" t="n">
        <v>522.75</v>
      </c>
      <c r="P65" s="30" t="s">
        <v>151</v>
      </c>
      <c r="Q65" s="69" t="s">
        <v>332</v>
      </c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</row>
    <row r="66" customFormat="false" ht="15" hidden="false" customHeight="false" outlineLevel="0" collapsed="false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46" t="s">
        <v>313</v>
      </c>
      <c r="O66" s="37" t="s">
        <v>151</v>
      </c>
      <c r="P66" s="37" t="n">
        <v>11.43</v>
      </c>
      <c r="Q66" s="69" t="s">
        <v>362</v>
      </c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</row>
    <row r="67" customFormat="false" ht="15" hidden="false" customHeight="false" outlineLevel="0" collapsed="false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47" t="s">
        <v>117</v>
      </c>
      <c r="O67" s="30" t="s">
        <v>151</v>
      </c>
      <c r="P67" s="30" t="n">
        <v>976.43</v>
      </c>
      <c r="Q67" s="69" t="s">
        <v>362</v>
      </c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</row>
    <row r="68" customFormat="false" ht="15" hidden="false" customHeight="false" outlineLevel="0" collapsed="false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46" t="s">
        <v>62</v>
      </c>
      <c r="O68" s="37" t="s">
        <v>151</v>
      </c>
      <c r="P68" s="37" t="n">
        <v>147.63</v>
      </c>
      <c r="Q68" s="69" t="s">
        <v>332</v>
      </c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</row>
    <row r="69" customFormat="false" ht="15" hidden="false" customHeight="false" outlineLevel="0" collapsed="false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47" t="s">
        <v>118</v>
      </c>
      <c r="O69" s="30" t="s">
        <v>151</v>
      </c>
      <c r="P69" s="30" t="n">
        <v>513.22</v>
      </c>
      <c r="Q69" s="69" t="s">
        <v>332</v>
      </c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</row>
    <row r="70" customFormat="false" ht="15" hidden="false" customHeight="false" outlineLevel="0" collapsed="false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46" t="s">
        <v>118</v>
      </c>
      <c r="O70" s="37" t="s">
        <v>151</v>
      </c>
      <c r="P70" s="37" t="n">
        <v>2309.89</v>
      </c>
      <c r="Q70" s="69" t="s">
        <v>332</v>
      </c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</row>
    <row r="71" customFormat="false" ht="15" hidden="false" customHeight="false" outlineLevel="0" collapsed="false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47" t="s">
        <v>39</v>
      </c>
      <c r="O71" s="30" t="s">
        <v>151</v>
      </c>
      <c r="P71" s="30" t="n">
        <v>246</v>
      </c>
      <c r="Q71" s="69" t="s">
        <v>332</v>
      </c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  <c r="AE71" s="69"/>
      <c r="AF71" s="69"/>
      <c r="AG71" s="69"/>
      <c r="AH71" s="69"/>
      <c r="AI71" s="69"/>
      <c r="AJ71" s="69"/>
      <c r="AK71" s="69"/>
      <c r="AL71" s="69"/>
      <c r="AM71" s="69"/>
      <c r="AN71" s="69"/>
      <c r="AO71" s="69"/>
      <c r="AP71" s="69"/>
      <c r="AQ71" s="69"/>
      <c r="AR71" s="69"/>
      <c r="AS71" s="69"/>
      <c r="AT71" s="69"/>
      <c r="AU71" s="69"/>
      <c r="AV71" s="69"/>
      <c r="AW71" s="69"/>
      <c r="AX71" s="69"/>
      <c r="AY71" s="69"/>
    </row>
    <row r="72" customFormat="false" ht="15" hidden="false" customHeight="false" outlineLevel="0" collapsed="false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46" t="s">
        <v>65</v>
      </c>
      <c r="O72" s="37" t="s">
        <v>151</v>
      </c>
      <c r="P72" s="37" t="n">
        <v>2546.34</v>
      </c>
      <c r="Q72" s="69" t="s">
        <v>332</v>
      </c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  <c r="AE72" s="69"/>
      <c r="AF72" s="69"/>
      <c r="AG72" s="69"/>
      <c r="AH72" s="69"/>
      <c r="AI72" s="69"/>
      <c r="AJ72" s="69"/>
      <c r="AK72" s="69"/>
      <c r="AL72" s="69"/>
      <c r="AM72" s="69"/>
      <c r="AN72" s="69"/>
      <c r="AO72" s="69"/>
      <c r="AP72" s="69"/>
      <c r="AQ72" s="69"/>
      <c r="AR72" s="69"/>
      <c r="AS72" s="69"/>
      <c r="AT72" s="69"/>
      <c r="AU72" s="69"/>
      <c r="AV72" s="69"/>
      <c r="AW72" s="69"/>
      <c r="AX72" s="69"/>
      <c r="AY72" s="69"/>
    </row>
    <row r="73" customFormat="false" ht="15" hidden="false" customHeight="false" outlineLevel="0" collapsed="false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47" t="s">
        <v>320</v>
      </c>
      <c r="O73" s="30" t="s">
        <v>151</v>
      </c>
      <c r="P73" s="30" t="n">
        <v>5534.7</v>
      </c>
      <c r="Q73" s="69" t="s">
        <v>332</v>
      </c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  <c r="AE73" s="69"/>
      <c r="AF73" s="69"/>
      <c r="AG73" s="69"/>
      <c r="AH73" s="69"/>
      <c r="AI73" s="69"/>
      <c r="AJ73" s="69"/>
      <c r="AK73" s="69"/>
      <c r="AL73" s="69"/>
      <c r="AM73" s="69"/>
      <c r="AN73" s="69"/>
      <c r="AO73" s="69"/>
      <c r="AP73" s="69"/>
      <c r="AQ73" s="69"/>
      <c r="AR73" s="69"/>
      <c r="AS73" s="69"/>
      <c r="AT73" s="69"/>
      <c r="AU73" s="69"/>
      <c r="AV73" s="69"/>
      <c r="AW73" s="69"/>
      <c r="AX73" s="69"/>
      <c r="AY73" s="69"/>
    </row>
    <row r="74" customFormat="false" ht="15" hidden="false" customHeight="false" outlineLevel="0" collapsed="false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46" t="s">
        <v>111</v>
      </c>
      <c r="O74" s="37" t="s">
        <v>151</v>
      </c>
      <c r="P74" s="37" t="n">
        <v>629</v>
      </c>
      <c r="Q74" s="69" t="s">
        <v>332</v>
      </c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  <c r="AF74" s="69"/>
      <c r="AG74" s="69"/>
      <c r="AH74" s="69"/>
      <c r="AI74" s="69"/>
      <c r="AJ74" s="69"/>
      <c r="AK74" s="69"/>
      <c r="AL74" s="69"/>
      <c r="AM74" s="69"/>
      <c r="AN74" s="69"/>
      <c r="AO74" s="69"/>
      <c r="AP74" s="69"/>
      <c r="AQ74" s="69"/>
      <c r="AR74" s="69"/>
      <c r="AS74" s="69"/>
      <c r="AT74" s="69"/>
      <c r="AU74" s="69"/>
      <c r="AV74" s="69"/>
      <c r="AW74" s="69"/>
      <c r="AX74" s="69"/>
      <c r="AY74" s="69"/>
    </row>
    <row r="75" customFormat="false" ht="15" hidden="false" customHeight="false" outlineLevel="0" collapsed="false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47" t="s">
        <v>76</v>
      </c>
      <c r="O75" s="30" t="s">
        <v>151</v>
      </c>
      <c r="P75" s="30" t="n">
        <v>1544.64</v>
      </c>
      <c r="Q75" s="69" t="s">
        <v>332</v>
      </c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  <c r="AE75" s="69"/>
      <c r="AF75" s="69"/>
      <c r="AG75" s="69"/>
      <c r="AH75" s="69"/>
      <c r="AI75" s="69"/>
      <c r="AJ75" s="69"/>
      <c r="AK75" s="69"/>
      <c r="AL75" s="69"/>
      <c r="AM75" s="69"/>
      <c r="AN75" s="69"/>
      <c r="AO75" s="69"/>
      <c r="AP75" s="69"/>
      <c r="AQ75" s="69"/>
      <c r="AR75" s="69"/>
      <c r="AS75" s="69"/>
      <c r="AT75" s="69"/>
      <c r="AU75" s="69"/>
      <c r="AV75" s="69"/>
      <c r="AW75" s="69"/>
      <c r="AX75" s="69"/>
      <c r="AY75" s="69"/>
    </row>
    <row r="76" customFormat="false" ht="15" hidden="false" customHeight="false" outlineLevel="0" collapsed="false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46" t="s">
        <v>76</v>
      </c>
      <c r="O76" s="37" t="s">
        <v>151</v>
      </c>
      <c r="P76" s="37" t="n">
        <v>1543.66</v>
      </c>
      <c r="Q76" s="69" t="s">
        <v>332</v>
      </c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  <c r="AE76" s="69"/>
      <c r="AF76" s="69"/>
      <c r="AG76" s="69"/>
      <c r="AH76" s="69"/>
      <c r="AI76" s="69"/>
      <c r="AJ76" s="69"/>
      <c r="AK76" s="69"/>
      <c r="AL76" s="69"/>
      <c r="AM76" s="69"/>
      <c r="AN76" s="69"/>
      <c r="AO76" s="69"/>
      <c r="AP76" s="69"/>
      <c r="AQ76" s="69"/>
      <c r="AR76" s="69"/>
      <c r="AS76" s="69"/>
      <c r="AT76" s="69"/>
      <c r="AU76" s="69"/>
      <c r="AV76" s="69"/>
      <c r="AW76" s="69"/>
      <c r="AX76" s="69"/>
      <c r="AY76" s="69"/>
    </row>
    <row r="77" customFormat="false" ht="15" hidden="false" customHeight="false" outlineLevel="0" collapsed="false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47" t="s">
        <v>76</v>
      </c>
      <c r="O77" s="30" t="s">
        <v>151</v>
      </c>
      <c r="P77" s="30" t="n">
        <v>1</v>
      </c>
      <c r="Q77" s="69" t="s">
        <v>332</v>
      </c>
      <c r="R77" s="69"/>
      <c r="S77" s="69"/>
      <c r="T77" s="69"/>
      <c r="U77" s="69"/>
      <c r="V77" s="69"/>
      <c r="W77" s="69"/>
      <c r="X77" s="69"/>
      <c r="Y77" s="69"/>
      <c r="Z77" s="69"/>
      <c r="AA77" s="69"/>
      <c r="AB77" s="69"/>
      <c r="AC77" s="69"/>
      <c r="AD77" s="69"/>
      <c r="AE77" s="69"/>
      <c r="AF77" s="69"/>
      <c r="AG77" s="69"/>
      <c r="AH77" s="69"/>
      <c r="AI77" s="69"/>
      <c r="AJ77" s="69"/>
      <c r="AK77" s="69"/>
      <c r="AL77" s="69"/>
      <c r="AM77" s="69"/>
      <c r="AN77" s="69"/>
      <c r="AO77" s="69"/>
      <c r="AP77" s="69"/>
      <c r="AQ77" s="69"/>
      <c r="AR77" s="69"/>
      <c r="AS77" s="69"/>
      <c r="AT77" s="69"/>
      <c r="AU77" s="69"/>
      <c r="AV77" s="69"/>
      <c r="AW77" s="69"/>
      <c r="AX77" s="69"/>
      <c r="AY77" s="69"/>
    </row>
    <row r="78" customFormat="false" ht="15" hidden="false" customHeight="false" outlineLevel="0" collapsed="false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46" t="s">
        <v>120</v>
      </c>
      <c r="O78" s="37" t="s">
        <v>151</v>
      </c>
      <c r="P78" s="37" t="n">
        <v>564</v>
      </c>
      <c r="Q78" s="69" t="s">
        <v>332</v>
      </c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  <c r="AE78" s="69"/>
      <c r="AF78" s="69"/>
      <c r="AG78" s="69"/>
      <c r="AH78" s="69"/>
      <c r="AI78" s="69"/>
      <c r="AJ78" s="69"/>
      <c r="AK78" s="69"/>
      <c r="AL78" s="69"/>
      <c r="AM78" s="69"/>
      <c r="AN78" s="69"/>
      <c r="AO78" s="69"/>
      <c r="AP78" s="69"/>
      <c r="AQ78" s="69"/>
      <c r="AR78" s="69"/>
      <c r="AS78" s="69"/>
      <c r="AT78" s="69"/>
      <c r="AU78" s="69"/>
      <c r="AV78" s="69"/>
      <c r="AW78" s="69"/>
      <c r="AX78" s="69"/>
      <c r="AY78" s="69"/>
    </row>
    <row r="79" customFormat="false" ht="15" hidden="false" customHeight="false" outlineLevel="0" collapsed="false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47" t="s">
        <v>65</v>
      </c>
      <c r="O79" s="30" t="s">
        <v>151</v>
      </c>
      <c r="P79" s="30" t="n">
        <v>2546.35</v>
      </c>
      <c r="Q79" s="69" t="s">
        <v>332</v>
      </c>
      <c r="R79" s="69"/>
      <c r="S79" s="69"/>
      <c r="T79" s="69"/>
      <c r="U79" s="69"/>
      <c r="V79" s="69"/>
      <c r="W79" s="69"/>
      <c r="X79" s="69"/>
      <c r="Y79" s="69"/>
      <c r="Z79" s="69"/>
      <c r="AA79" s="69"/>
      <c r="AB79" s="69"/>
      <c r="AC79" s="69"/>
      <c r="AD79" s="69"/>
      <c r="AE79" s="69"/>
      <c r="AF79" s="69"/>
      <c r="AG79" s="69"/>
      <c r="AH79" s="69"/>
      <c r="AI79" s="69"/>
      <c r="AJ79" s="69"/>
      <c r="AK79" s="69"/>
      <c r="AL79" s="69"/>
      <c r="AM79" s="69"/>
      <c r="AN79" s="69"/>
      <c r="AO79" s="69"/>
      <c r="AP79" s="69"/>
      <c r="AQ79" s="69"/>
      <c r="AR79" s="69"/>
      <c r="AS79" s="69"/>
      <c r="AT79" s="69"/>
      <c r="AU79" s="69"/>
      <c r="AV79" s="69"/>
      <c r="AW79" s="69"/>
      <c r="AX79" s="69"/>
      <c r="AY79" s="69"/>
    </row>
    <row r="80" customFormat="false" ht="15" hidden="false" customHeight="false" outlineLevel="0" collapsed="false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94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69"/>
      <c r="AF80" s="69"/>
      <c r="AG80" s="69"/>
      <c r="AH80" s="69"/>
      <c r="AI80" s="69"/>
      <c r="AJ80" s="69"/>
      <c r="AK80" s="69"/>
      <c r="AL80" s="69"/>
      <c r="AM80" s="69"/>
      <c r="AN80" s="69"/>
      <c r="AO80" s="69"/>
      <c r="AP80" s="69"/>
      <c r="AQ80" s="69"/>
      <c r="AR80" s="69"/>
      <c r="AS80" s="69"/>
      <c r="AT80" s="69"/>
      <c r="AU80" s="69"/>
      <c r="AV80" s="69"/>
      <c r="AW80" s="69"/>
      <c r="AX80" s="69"/>
      <c r="AY80" s="69"/>
    </row>
    <row r="81" customFormat="false" ht="15" hidden="false" customHeight="false" outlineLevel="0" collapsed="false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95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69"/>
      <c r="AB81" s="69"/>
      <c r="AC81" s="69"/>
      <c r="AD81" s="69"/>
      <c r="AE81" s="69"/>
      <c r="AF81" s="69"/>
      <c r="AG81" s="69"/>
      <c r="AH81" s="69"/>
      <c r="AI81" s="69"/>
      <c r="AJ81" s="69"/>
      <c r="AK81" s="69"/>
      <c r="AL81" s="69"/>
      <c r="AM81" s="69"/>
      <c r="AN81" s="69"/>
      <c r="AO81" s="69"/>
      <c r="AP81" s="69"/>
      <c r="AQ81" s="69"/>
      <c r="AR81" s="69"/>
      <c r="AS81" s="69"/>
      <c r="AT81" s="69"/>
      <c r="AU81" s="69"/>
      <c r="AV81" s="69"/>
      <c r="AW81" s="69"/>
      <c r="AX81" s="69"/>
      <c r="AY81" s="6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63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P16" activeCellId="0" sqref="P16"/>
    </sheetView>
  </sheetViews>
  <sheetFormatPr defaultColWidth="8.5390625" defaultRowHeight="15" zeroHeight="false" outlineLevelRow="0" outlineLevelCol="0"/>
  <sheetData>
    <row r="1" customFormat="false" ht="18" hidden="false" customHeight="true" outlineLevel="0" collapsed="false">
      <c r="A1" s="17"/>
      <c r="B1" s="96" t="s">
        <v>363</v>
      </c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17"/>
      <c r="R1" s="17"/>
      <c r="S1" s="17"/>
      <c r="T1" s="17"/>
    </row>
    <row r="2" customFormat="false" ht="18" hidden="false" customHeight="true" outlineLevel="0" collapsed="false">
      <c r="A2" s="17"/>
      <c r="B2" s="96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17"/>
      <c r="R2" s="17"/>
      <c r="S2" s="17"/>
      <c r="T2" s="17"/>
    </row>
    <row r="3" customFormat="false" ht="15" hidden="false" customHeight="false" outlineLevel="0" collapsed="false">
      <c r="A3" s="17"/>
      <c r="B3" s="97"/>
      <c r="C3" s="9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4" customFormat="false" ht="15" hidden="false" customHeight="false" outlineLevel="0" collapsed="false">
      <c r="A4" s="17"/>
      <c r="B4" s="97"/>
      <c r="C4" s="97"/>
      <c r="D4" s="97"/>
      <c r="E4" s="97" t="n">
        <v>0</v>
      </c>
      <c r="F4" s="97" t="n">
        <v>0</v>
      </c>
      <c r="G4" s="97" t="n">
        <v>0</v>
      </c>
      <c r="H4" s="97" t="n">
        <v>0</v>
      </c>
      <c r="I4" s="97" t="n">
        <v>0</v>
      </c>
      <c r="J4" s="97" t="n">
        <v>0</v>
      </c>
      <c r="K4" s="97" t="n">
        <v>0</v>
      </c>
      <c r="L4" s="97" t="n">
        <v>0</v>
      </c>
      <c r="M4" s="97" t="n">
        <v>0</v>
      </c>
      <c r="N4" s="97" t="n">
        <v>0</v>
      </c>
      <c r="O4" s="97" t="n">
        <v>0</v>
      </c>
      <c r="P4" s="17"/>
      <c r="Q4" s="17"/>
      <c r="R4" s="17"/>
      <c r="S4" s="17"/>
      <c r="T4" s="17"/>
    </row>
    <row r="5" customFormat="false" ht="15" hidden="false" customHeight="false" outlineLevel="0" collapsed="false">
      <c r="A5" s="69"/>
      <c r="B5" s="78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17"/>
      <c r="S5" s="17"/>
      <c r="T5" s="17"/>
    </row>
    <row r="6" customFormat="false" ht="20.25" hidden="false" customHeight="true" outlineLevel="0" collapsed="false">
      <c r="A6" s="69"/>
      <c r="B6" s="98" t="s">
        <v>364</v>
      </c>
      <c r="C6" s="98" t="s">
        <v>365</v>
      </c>
      <c r="D6" s="99" t="n">
        <v>46048</v>
      </c>
      <c r="E6" s="99" t="n">
        <v>46079</v>
      </c>
      <c r="F6" s="99" t="n">
        <v>46107</v>
      </c>
      <c r="G6" s="99" t="n">
        <v>46138</v>
      </c>
      <c r="H6" s="99" t="n">
        <v>46168</v>
      </c>
      <c r="I6" s="99" t="n">
        <v>46199</v>
      </c>
      <c r="J6" s="99" t="n">
        <v>46229</v>
      </c>
      <c r="K6" s="99" t="n">
        <v>46260</v>
      </c>
      <c r="L6" s="99" t="n">
        <v>46291</v>
      </c>
      <c r="M6" s="99" t="n">
        <v>46321</v>
      </c>
      <c r="N6" s="99" t="n">
        <v>46352</v>
      </c>
      <c r="O6" s="99" t="n">
        <v>46382</v>
      </c>
      <c r="P6" s="98" t="s">
        <v>366</v>
      </c>
      <c r="Q6" s="100" t="s">
        <v>367</v>
      </c>
      <c r="R6" s="69"/>
      <c r="S6" s="69"/>
      <c r="T6" s="69"/>
    </row>
    <row r="7" customFormat="false" ht="20.25" hidden="false" customHeight="true" outlineLevel="0" collapsed="false">
      <c r="A7" s="69"/>
      <c r="B7" s="101" t="s">
        <v>214</v>
      </c>
      <c r="C7" s="102" t="s">
        <v>151</v>
      </c>
      <c r="D7" s="103" t="s">
        <v>151</v>
      </c>
      <c r="E7" s="103" t="s">
        <v>151</v>
      </c>
      <c r="F7" s="104" t="s">
        <v>151</v>
      </c>
      <c r="G7" s="105" t="s">
        <v>151</v>
      </c>
      <c r="H7" s="106" t="s">
        <v>151</v>
      </c>
      <c r="I7" s="106" t="s">
        <v>151</v>
      </c>
      <c r="J7" s="106" t="s">
        <v>151</v>
      </c>
      <c r="K7" s="106" t="s">
        <v>151</v>
      </c>
      <c r="L7" s="106" t="s">
        <v>151</v>
      </c>
      <c r="M7" s="106" t="s">
        <v>151</v>
      </c>
      <c r="N7" s="106" t="s">
        <v>151</v>
      </c>
      <c r="O7" s="106" t="s">
        <v>151</v>
      </c>
      <c r="P7" s="107" t="s">
        <v>151</v>
      </c>
      <c r="Q7" s="107" t="s">
        <v>368</v>
      </c>
      <c r="R7" s="69"/>
      <c r="S7" s="69"/>
      <c r="T7" s="69"/>
    </row>
    <row r="8" customFormat="false" ht="15" hidden="false" customHeight="false" outlineLevel="0" collapsed="false">
      <c r="A8" s="69"/>
      <c r="B8" s="101" t="s">
        <v>369</v>
      </c>
      <c r="C8" s="102" t="s">
        <v>151</v>
      </c>
      <c r="D8" s="103" t="s">
        <v>151</v>
      </c>
      <c r="E8" s="103" t="s">
        <v>151</v>
      </c>
      <c r="F8" s="108" t="n">
        <v>3136.5</v>
      </c>
      <c r="G8" s="105" t="s">
        <v>151</v>
      </c>
      <c r="H8" s="106" t="s">
        <v>151</v>
      </c>
      <c r="I8" s="106" t="s">
        <v>151</v>
      </c>
      <c r="J8" s="106" t="s">
        <v>151</v>
      </c>
      <c r="K8" s="106" t="s">
        <v>151</v>
      </c>
      <c r="L8" s="106" t="s">
        <v>151</v>
      </c>
      <c r="M8" s="106" t="s">
        <v>151</v>
      </c>
      <c r="N8" s="106" t="s">
        <v>151</v>
      </c>
      <c r="O8" s="106" t="s">
        <v>151</v>
      </c>
      <c r="P8" s="107" t="s">
        <v>151</v>
      </c>
      <c r="Q8" s="109" t="n">
        <v>3136.5</v>
      </c>
      <c r="R8" s="69"/>
      <c r="S8" s="69"/>
      <c r="T8" s="69"/>
    </row>
    <row r="9" customFormat="false" ht="15" hidden="false" customHeight="false" outlineLevel="0" collapsed="false">
      <c r="A9" s="69"/>
      <c r="B9" s="101" t="s">
        <v>370</v>
      </c>
      <c r="C9" s="102" t="s">
        <v>151</v>
      </c>
      <c r="D9" s="103" t="s">
        <v>151</v>
      </c>
      <c r="E9" s="103" t="s">
        <v>151</v>
      </c>
      <c r="F9" s="108" t="n">
        <v>22145.54</v>
      </c>
      <c r="G9" s="110" t="n">
        <v>1119.3</v>
      </c>
      <c r="H9" s="106" t="s">
        <v>151</v>
      </c>
      <c r="I9" s="106" t="s">
        <v>151</v>
      </c>
      <c r="J9" s="106" t="s">
        <v>151</v>
      </c>
      <c r="K9" s="106" t="s">
        <v>151</v>
      </c>
      <c r="L9" s="106" t="s">
        <v>151</v>
      </c>
      <c r="M9" s="106" t="s">
        <v>151</v>
      </c>
      <c r="N9" s="106" t="s">
        <v>151</v>
      </c>
      <c r="O9" s="106" t="s">
        <v>151</v>
      </c>
      <c r="P9" s="107" t="s">
        <v>151</v>
      </c>
      <c r="Q9" s="109" t="n">
        <v>23264.84</v>
      </c>
      <c r="R9" s="69"/>
      <c r="S9" s="69"/>
      <c r="T9" s="69"/>
    </row>
    <row r="10" customFormat="false" ht="15" hidden="false" customHeight="false" outlineLevel="0" collapsed="false">
      <c r="A10" s="69"/>
      <c r="B10" s="101" t="s">
        <v>371</v>
      </c>
      <c r="C10" s="102" t="s">
        <v>151</v>
      </c>
      <c r="D10" s="108" t="n">
        <v>1353</v>
      </c>
      <c r="E10" s="103"/>
      <c r="F10" s="103" t="s">
        <v>151</v>
      </c>
      <c r="G10" s="105" t="s">
        <v>151</v>
      </c>
      <c r="H10" s="106" t="s">
        <v>151</v>
      </c>
      <c r="I10" s="106" t="s">
        <v>151</v>
      </c>
      <c r="J10" s="106" t="s">
        <v>151</v>
      </c>
      <c r="K10" s="106" t="s">
        <v>151</v>
      </c>
      <c r="L10" s="106" t="s">
        <v>151</v>
      </c>
      <c r="M10" s="106" t="s">
        <v>151</v>
      </c>
      <c r="N10" s="106" t="s">
        <v>151</v>
      </c>
      <c r="O10" s="106" t="s">
        <v>151</v>
      </c>
      <c r="P10" s="107" t="s">
        <v>151</v>
      </c>
      <c r="Q10" s="109" t="n">
        <v>1353</v>
      </c>
      <c r="R10" s="69"/>
      <c r="S10" s="69"/>
      <c r="T10" s="69"/>
    </row>
    <row r="11" customFormat="false" ht="15" hidden="false" customHeight="false" outlineLevel="0" collapsed="false">
      <c r="A11" s="69"/>
      <c r="B11" s="101" t="s">
        <v>372</v>
      </c>
      <c r="C11" s="102" t="s">
        <v>151</v>
      </c>
      <c r="D11" s="108" t="n">
        <v>3678.93</v>
      </c>
      <c r="E11" s="103" t="s">
        <v>151</v>
      </c>
      <c r="F11" s="111" t="s">
        <v>151</v>
      </c>
      <c r="G11" s="105" t="s">
        <v>151</v>
      </c>
      <c r="H11" s="106" t="s">
        <v>151</v>
      </c>
      <c r="I11" s="106" t="s">
        <v>151</v>
      </c>
      <c r="J11" s="106" t="s">
        <v>151</v>
      </c>
      <c r="K11" s="106" t="s">
        <v>151</v>
      </c>
      <c r="L11" s="106" t="s">
        <v>151</v>
      </c>
      <c r="M11" s="106" t="s">
        <v>151</v>
      </c>
      <c r="N11" s="106" t="s">
        <v>151</v>
      </c>
      <c r="O11" s="106" t="s">
        <v>151</v>
      </c>
      <c r="P11" s="107" t="s">
        <v>151</v>
      </c>
      <c r="Q11" s="109" t="n">
        <v>3678.93</v>
      </c>
      <c r="R11" s="69"/>
      <c r="S11" s="69"/>
      <c r="T11" s="69"/>
    </row>
    <row r="12" customFormat="false" ht="15" hidden="false" customHeight="false" outlineLevel="0" collapsed="false">
      <c r="A12" s="69"/>
      <c r="B12" s="101" t="s">
        <v>70</v>
      </c>
      <c r="C12" s="102" t="s">
        <v>151</v>
      </c>
      <c r="D12" s="103" t="s">
        <v>151</v>
      </c>
      <c r="E12" s="103" t="s">
        <v>151</v>
      </c>
      <c r="F12" s="112" t="n">
        <v>1845</v>
      </c>
      <c r="G12" s="105" t="s">
        <v>151</v>
      </c>
      <c r="H12" s="106" t="s">
        <v>151</v>
      </c>
      <c r="I12" s="106" t="s">
        <v>151</v>
      </c>
      <c r="J12" s="106" t="s">
        <v>151</v>
      </c>
      <c r="K12" s="106" t="s">
        <v>151</v>
      </c>
      <c r="L12" s="106" t="s">
        <v>151</v>
      </c>
      <c r="M12" s="106" t="s">
        <v>151</v>
      </c>
      <c r="N12" s="106" t="s">
        <v>151</v>
      </c>
      <c r="O12" s="106" t="s">
        <v>151</v>
      </c>
      <c r="P12" s="107" t="s">
        <v>151</v>
      </c>
      <c r="Q12" s="109" t="n">
        <v>1845</v>
      </c>
      <c r="R12" s="69"/>
      <c r="S12" s="69"/>
      <c r="T12" s="69"/>
    </row>
    <row r="13" customFormat="false" ht="15" hidden="false" customHeight="false" outlineLevel="0" collapsed="false">
      <c r="A13" s="69"/>
      <c r="B13" s="101" t="s">
        <v>373</v>
      </c>
      <c r="C13" s="102" t="s">
        <v>151</v>
      </c>
      <c r="D13" s="103" t="s">
        <v>151</v>
      </c>
      <c r="E13" s="111" t="s">
        <v>151</v>
      </c>
      <c r="F13" s="111" t="s">
        <v>151</v>
      </c>
      <c r="G13" s="105" t="s">
        <v>151</v>
      </c>
      <c r="H13" s="106" t="s">
        <v>151</v>
      </c>
      <c r="I13" s="106" t="s">
        <v>151</v>
      </c>
      <c r="J13" s="106" t="s">
        <v>151</v>
      </c>
      <c r="K13" s="106" t="s">
        <v>151</v>
      </c>
      <c r="L13" s="106" t="s">
        <v>151</v>
      </c>
      <c r="M13" s="106" t="s">
        <v>151</v>
      </c>
      <c r="N13" s="106" t="s">
        <v>151</v>
      </c>
      <c r="O13" s="106" t="s">
        <v>151</v>
      </c>
      <c r="P13" s="113" t="n">
        <v>64156.8</v>
      </c>
      <c r="Q13" s="109" t="n">
        <v>64156.8</v>
      </c>
      <c r="R13" s="69"/>
      <c r="S13" s="69"/>
      <c r="T13" s="69"/>
    </row>
    <row r="14" customFormat="false" ht="20.25" hidden="false" customHeight="true" outlineLevel="0" collapsed="false">
      <c r="A14" s="69"/>
      <c r="B14" s="101" t="s">
        <v>374</v>
      </c>
      <c r="C14" s="102" t="s">
        <v>151</v>
      </c>
      <c r="D14" s="104" t="s">
        <v>151</v>
      </c>
      <c r="E14" s="103" t="s">
        <v>151</v>
      </c>
      <c r="F14" s="103" t="s">
        <v>151</v>
      </c>
      <c r="G14" s="105" t="s">
        <v>151</v>
      </c>
      <c r="H14" s="106" t="s">
        <v>151</v>
      </c>
      <c r="I14" s="106" t="s">
        <v>151</v>
      </c>
      <c r="J14" s="106" t="s">
        <v>151</v>
      </c>
      <c r="K14" s="106" t="s">
        <v>151</v>
      </c>
      <c r="L14" s="106" t="s">
        <v>151</v>
      </c>
      <c r="M14" s="106" t="s">
        <v>151</v>
      </c>
      <c r="N14" s="106" t="s">
        <v>151</v>
      </c>
      <c r="O14" s="106" t="s">
        <v>151</v>
      </c>
      <c r="P14" s="107" t="s">
        <v>151</v>
      </c>
      <c r="Q14" s="114" t="s">
        <v>368</v>
      </c>
      <c r="R14" s="69"/>
      <c r="S14" s="69"/>
      <c r="T14" s="69"/>
    </row>
    <row r="15" customFormat="false" ht="20.25" hidden="false" customHeight="true" outlineLevel="0" collapsed="false">
      <c r="A15" s="69"/>
      <c r="B15" s="101" t="s">
        <v>375</v>
      </c>
      <c r="C15" s="102" t="s">
        <v>151</v>
      </c>
      <c r="D15" s="103" t="s">
        <v>151</v>
      </c>
      <c r="E15" s="103" t="s">
        <v>151</v>
      </c>
      <c r="F15" s="111" t="s">
        <v>151</v>
      </c>
      <c r="G15" s="105" t="s">
        <v>151</v>
      </c>
      <c r="H15" s="106" t="s">
        <v>151</v>
      </c>
      <c r="I15" s="106" t="s">
        <v>151</v>
      </c>
      <c r="J15" s="106" t="s">
        <v>151</v>
      </c>
      <c r="K15" s="106" t="s">
        <v>151</v>
      </c>
      <c r="L15" s="106" t="s">
        <v>151</v>
      </c>
      <c r="M15" s="106" t="s">
        <v>151</v>
      </c>
      <c r="N15" s="106" t="s">
        <v>151</v>
      </c>
      <c r="O15" s="106" t="s">
        <v>151</v>
      </c>
      <c r="P15" s="107" t="s">
        <v>151</v>
      </c>
      <c r="Q15" s="114" t="s">
        <v>368</v>
      </c>
      <c r="R15" s="69"/>
      <c r="S15" s="69"/>
      <c r="T15" s="69"/>
    </row>
    <row r="16" customFormat="false" ht="20.25" hidden="false" customHeight="true" outlineLevel="0" collapsed="false">
      <c r="A16" s="69"/>
      <c r="B16" s="115" t="s">
        <v>376</v>
      </c>
      <c r="C16" s="116" t="s">
        <v>151</v>
      </c>
      <c r="D16" s="117" t="n">
        <v>5031.93</v>
      </c>
      <c r="E16" s="107" t="s">
        <v>368</v>
      </c>
      <c r="F16" s="117" t="n">
        <v>27127.04</v>
      </c>
      <c r="G16" s="117" t="n">
        <v>1119.3</v>
      </c>
      <c r="H16" s="107" t="s">
        <v>377</v>
      </c>
      <c r="I16" s="107" t="s">
        <v>377</v>
      </c>
      <c r="J16" s="107" t="s">
        <v>377</v>
      </c>
      <c r="K16" s="107" t="s">
        <v>378</v>
      </c>
      <c r="L16" s="107" t="s">
        <v>378</v>
      </c>
      <c r="M16" s="107" t="s">
        <v>378</v>
      </c>
      <c r="N16" s="107" t="s">
        <v>378</v>
      </c>
      <c r="O16" s="107" t="s">
        <v>378</v>
      </c>
      <c r="P16" s="117" t="n">
        <v>64156.8</v>
      </c>
      <c r="Q16" s="118" t="n">
        <v>97435.07</v>
      </c>
      <c r="R16" s="69"/>
      <c r="S16" s="69"/>
      <c r="T16" s="69"/>
    </row>
    <row r="17" customFormat="false" ht="15" hidden="false" customHeight="false" outlineLevel="0" collapsed="false">
      <c r="A17" s="69"/>
      <c r="B17" s="119" t="s">
        <v>151</v>
      </c>
      <c r="C17" s="120" t="s">
        <v>151</v>
      </c>
      <c r="D17" s="120" t="s">
        <v>151</v>
      </c>
      <c r="E17" s="120" t="s">
        <v>151</v>
      </c>
      <c r="F17" s="120" t="s">
        <v>151</v>
      </c>
      <c r="G17" s="120" t="s">
        <v>151</v>
      </c>
      <c r="H17" s="120" t="s">
        <v>151</v>
      </c>
      <c r="I17" s="120" t="s">
        <v>151</v>
      </c>
      <c r="J17" s="120" t="s">
        <v>151</v>
      </c>
      <c r="K17" s="120" t="s">
        <v>151</v>
      </c>
      <c r="L17" s="120" t="s">
        <v>151</v>
      </c>
      <c r="M17" s="120" t="s">
        <v>151</v>
      </c>
      <c r="N17" s="120" t="s">
        <v>151</v>
      </c>
      <c r="O17" s="120" t="s">
        <v>151</v>
      </c>
      <c r="P17" s="121" t="s">
        <v>151</v>
      </c>
      <c r="Q17" s="122" t="s">
        <v>151</v>
      </c>
      <c r="R17" s="69"/>
      <c r="S17" s="69"/>
      <c r="T17" s="69"/>
    </row>
    <row r="18" customFormat="false" ht="15" hidden="false" customHeight="false" outlineLevel="0" collapsed="false">
      <c r="A18" s="69"/>
      <c r="B18" s="98" t="s">
        <v>364</v>
      </c>
      <c r="C18" s="98" t="s">
        <v>365</v>
      </c>
      <c r="D18" s="98" t="s">
        <v>379</v>
      </c>
      <c r="E18" s="98" t="s">
        <v>380</v>
      </c>
      <c r="F18" s="98" t="s">
        <v>381</v>
      </c>
      <c r="G18" s="98" t="s">
        <v>382</v>
      </c>
      <c r="H18" s="98" t="s">
        <v>383</v>
      </c>
      <c r="I18" s="98" t="s">
        <v>384</v>
      </c>
      <c r="J18" s="98" t="s">
        <v>385</v>
      </c>
      <c r="K18" s="98" t="s">
        <v>386</v>
      </c>
      <c r="L18" s="98" t="s">
        <v>387</v>
      </c>
      <c r="M18" s="98" t="s">
        <v>388</v>
      </c>
      <c r="N18" s="98" t="s">
        <v>389</v>
      </c>
      <c r="O18" s="98" t="s">
        <v>390</v>
      </c>
      <c r="P18" s="98" t="s">
        <v>391</v>
      </c>
      <c r="Q18" s="100" t="s">
        <v>392</v>
      </c>
      <c r="R18" s="69"/>
      <c r="S18" s="69"/>
      <c r="T18" s="69"/>
    </row>
    <row r="19" customFormat="false" ht="20.25" hidden="false" customHeight="true" outlineLevel="0" collapsed="false">
      <c r="A19" s="69"/>
      <c r="B19" s="101" t="s">
        <v>393</v>
      </c>
      <c r="C19" s="102" t="s">
        <v>151</v>
      </c>
      <c r="D19" s="105" t="s">
        <v>151</v>
      </c>
      <c r="E19" s="105" t="s">
        <v>151</v>
      </c>
      <c r="F19" s="105" t="s">
        <v>151</v>
      </c>
      <c r="G19" s="112" t="n">
        <v>5576.04</v>
      </c>
      <c r="H19" s="106" t="s">
        <v>151</v>
      </c>
      <c r="I19" s="106" t="s">
        <v>151</v>
      </c>
      <c r="J19" s="106" t="s">
        <v>151</v>
      </c>
      <c r="K19" s="123"/>
      <c r="L19" s="106" t="s">
        <v>151</v>
      </c>
      <c r="M19" s="106" t="s">
        <v>151</v>
      </c>
      <c r="N19" s="106" t="s">
        <v>151</v>
      </c>
      <c r="O19" s="106" t="s">
        <v>151</v>
      </c>
      <c r="P19" s="107" t="s">
        <v>151</v>
      </c>
      <c r="Q19" s="117" t="n">
        <v>5576.04</v>
      </c>
      <c r="R19" s="69"/>
      <c r="S19" s="69"/>
      <c r="T19" s="69"/>
    </row>
    <row r="20" customFormat="false" ht="20.25" hidden="false" customHeight="true" outlineLevel="0" collapsed="false">
      <c r="A20" s="69"/>
      <c r="B20" s="101" t="s">
        <v>394</v>
      </c>
      <c r="C20" s="102" t="s">
        <v>151</v>
      </c>
      <c r="D20" s="105" t="s">
        <v>151</v>
      </c>
      <c r="E20" s="105" t="s">
        <v>151</v>
      </c>
      <c r="F20" s="105" t="s">
        <v>151</v>
      </c>
      <c r="G20" s="105" t="s">
        <v>151</v>
      </c>
      <c r="H20" s="106" t="s">
        <v>151</v>
      </c>
      <c r="I20" s="106" t="s">
        <v>151</v>
      </c>
      <c r="J20" s="106" t="s">
        <v>151</v>
      </c>
      <c r="K20" s="106" t="s">
        <v>151</v>
      </c>
      <c r="L20" s="106" t="s">
        <v>151</v>
      </c>
      <c r="M20" s="106" t="s">
        <v>151</v>
      </c>
      <c r="N20" s="106" t="s">
        <v>151</v>
      </c>
      <c r="O20" s="106" t="s">
        <v>151</v>
      </c>
      <c r="P20" s="107" t="s">
        <v>151</v>
      </c>
      <c r="Q20" s="114" t="s">
        <v>368</v>
      </c>
      <c r="R20" s="69"/>
      <c r="S20" s="69"/>
      <c r="T20" s="69"/>
    </row>
    <row r="21" customFormat="false" ht="15" hidden="false" customHeight="false" outlineLevel="0" collapsed="false">
      <c r="A21" s="69"/>
      <c r="B21" s="101" t="s">
        <v>395</v>
      </c>
      <c r="C21" s="102" t="s">
        <v>151</v>
      </c>
      <c r="D21" s="105" t="s">
        <v>151</v>
      </c>
      <c r="E21" s="112" t="n">
        <v>1924.95</v>
      </c>
      <c r="F21" s="105" t="s">
        <v>151</v>
      </c>
      <c r="G21" s="105" t="s">
        <v>151</v>
      </c>
      <c r="H21" s="106" t="s">
        <v>151</v>
      </c>
      <c r="I21" s="106" t="s">
        <v>151</v>
      </c>
      <c r="J21" s="106" t="s">
        <v>151</v>
      </c>
      <c r="K21" s="106" t="s">
        <v>151</v>
      </c>
      <c r="L21" s="106" t="s">
        <v>151</v>
      </c>
      <c r="M21" s="106" t="s">
        <v>151</v>
      </c>
      <c r="N21" s="106" t="s">
        <v>151</v>
      </c>
      <c r="O21" s="106" t="s">
        <v>151</v>
      </c>
      <c r="P21" s="107" t="s">
        <v>151</v>
      </c>
      <c r="Q21" s="109" t="n">
        <v>1924.95</v>
      </c>
      <c r="R21" s="69"/>
      <c r="S21" s="69"/>
      <c r="T21" s="69"/>
    </row>
    <row r="22" customFormat="false" ht="15" hidden="false" customHeight="false" outlineLevel="0" collapsed="false">
      <c r="A22" s="69"/>
      <c r="B22" s="101" t="s">
        <v>396</v>
      </c>
      <c r="C22" s="102" t="s">
        <v>151</v>
      </c>
      <c r="D22" s="105" t="s">
        <v>151</v>
      </c>
      <c r="E22" s="104" t="n">
        <v>677.57</v>
      </c>
      <c r="F22" s="105" t="s">
        <v>151</v>
      </c>
      <c r="G22" s="105" t="s">
        <v>151</v>
      </c>
      <c r="H22" s="106" t="s">
        <v>151</v>
      </c>
      <c r="I22" s="106" t="s">
        <v>151</v>
      </c>
      <c r="J22" s="106" t="s">
        <v>151</v>
      </c>
      <c r="K22" s="106" t="s">
        <v>151</v>
      </c>
      <c r="L22" s="106" t="s">
        <v>151</v>
      </c>
      <c r="M22" s="106" t="s">
        <v>151</v>
      </c>
      <c r="N22" s="106" t="s">
        <v>151</v>
      </c>
      <c r="O22" s="106" t="s">
        <v>151</v>
      </c>
      <c r="P22" s="107" t="s">
        <v>151</v>
      </c>
      <c r="Q22" s="114" t="n">
        <v>677.57</v>
      </c>
      <c r="R22" s="69"/>
      <c r="S22" s="69"/>
      <c r="T22" s="69"/>
    </row>
    <row r="23" customFormat="false" ht="41.25" hidden="false" customHeight="true" outlineLevel="0" collapsed="false">
      <c r="A23" s="69"/>
      <c r="B23" s="101" t="s">
        <v>397</v>
      </c>
      <c r="C23" s="102" t="s">
        <v>151</v>
      </c>
      <c r="D23" s="105" t="s">
        <v>151</v>
      </c>
      <c r="E23" s="105" t="s">
        <v>151</v>
      </c>
      <c r="F23" s="105" t="s">
        <v>151</v>
      </c>
      <c r="G23" s="105" t="s">
        <v>151</v>
      </c>
      <c r="H23" s="106" t="s">
        <v>151</v>
      </c>
      <c r="I23" s="106" t="s">
        <v>151</v>
      </c>
      <c r="J23" s="106" t="s">
        <v>151</v>
      </c>
      <c r="K23" s="106" t="s">
        <v>151</v>
      </c>
      <c r="L23" s="106" t="s">
        <v>151</v>
      </c>
      <c r="M23" s="106" t="s">
        <v>151</v>
      </c>
      <c r="N23" s="106" t="s">
        <v>151</v>
      </c>
      <c r="O23" s="106" t="s">
        <v>151</v>
      </c>
      <c r="P23" s="107" t="s">
        <v>151</v>
      </c>
      <c r="Q23" s="114" t="s">
        <v>368</v>
      </c>
      <c r="R23" s="69"/>
      <c r="S23" s="69"/>
      <c r="T23" s="69"/>
    </row>
    <row r="24" customFormat="false" ht="30.75" hidden="false" customHeight="true" outlineLevel="0" collapsed="false">
      <c r="A24" s="69"/>
      <c r="B24" s="101" t="s">
        <v>398</v>
      </c>
      <c r="C24" s="102" t="s">
        <v>151</v>
      </c>
      <c r="D24" s="105" t="s">
        <v>151</v>
      </c>
      <c r="E24" s="105" t="s">
        <v>151</v>
      </c>
      <c r="F24" s="105" t="s">
        <v>151</v>
      </c>
      <c r="G24" s="105" t="s">
        <v>151</v>
      </c>
      <c r="H24" s="106" t="s">
        <v>151</v>
      </c>
      <c r="I24" s="106" t="s">
        <v>151</v>
      </c>
      <c r="J24" s="106" t="s">
        <v>151</v>
      </c>
      <c r="K24" s="106" t="s">
        <v>151</v>
      </c>
      <c r="L24" s="106" t="s">
        <v>151</v>
      </c>
      <c r="M24" s="106" t="s">
        <v>151</v>
      </c>
      <c r="N24" s="106" t="s">
        <v>151</v>
      </c>
      <c r="O24" s="106" t="s">
        <v>151</v>
      </c>
      <c r="P24" s="107" t="s">
        <v>151</v>
      </c>
      <c r="Q24" s="114" t="s">
        <v>368</v>
      </c>
      <c r="R24" s="69"/>
      <c r="S24" s="69"/>
      <c r="T24" s="69"/>
    </row>
    <row r="25" customFormat="false" ht="30.75" hidden="false" customHeight="true" outlineLevel="0" collapsed="false">
      <c r="A25" s="69"/>
      <c r="B25" s="101" t="s">
        <v>399</v>
      </c>
      <c r="C25" s="102" t="s">
        <v>151</v>
      </c>
      <c r="D25" s="104" t="s">
        <v>151</v>
      </c>
      <c r="E25" s="104" t="s">
        <v>151</v>
      </c>
      <c r="F25" s="104" t="s">
        <v>151</v>
      </c>
      <c r="G25" s="104" t="s">
        <v>151</v>
      </c>
      <c r="H25" s="106" t="s">
        <v>151</v>
      </c>
      <c r="I25" s="106" t="s">
        <v>151</v>
      </c>
      <c r="J25" s="106" t="s">
        <v>151</v>
      </c>
      <c r="K25" s="106" t="s">
        <v>151</v>
      </c>
      <c r="L25" s="106" t="s">
        <v>151</v>
      </c>
      <c r="M25" s="106" t="s">
        <v>151</v>
      </c>
      <c r="N25" s="106" t="s">
        <v>151</v>
      </c>
      <c r="O25" s="106" t="s">
        <v>151</v>
      </c>
      <c r="P25" s="107" t="s">
        <v>151</v>
      </c>
      <c r="Q25" s="114" t="s">
        <v>368</v>
      </c>
      <c r="R25" s="69"/>
      <c r="S25" s="69"/>
      <c r="T25" s="69"/>
    </row>
    <row r="26" customFormat="false" ht="20.25" hidden="false" customHeight="true" outlineLevel="0" collapsed="false">
      <c r="A26" s="69"/>
      <c r="B26" s="101" t="s">
        <v>400</v>
      </c>
      <c r="C26" s="102" t="s">
        <v>151</v>
      </c>
      <c r="D26" s="104" t="s">
        <v>151</v>
      </c>
      <c r="E26" s="104" t="n">
        <v>72.57</v>
      </c>
      <c r="F26" s="103" t="s">
        <v>151</v>
      </c>
      <c r="G26" s="103" t="s">
        <v>151</v>
      </c>
      <c r="H26" s="106" t="s">
        <v>151</v>
      </c>
      <c r="I26" s="106" t="s">
        <v>151</v>
      </c>
      <c r="J26" s="106" t="s">
        <v>151</v>
      </c>
      <c r="K26" s="106" t="s">
        <v>151</v>
      </c>
      <c r="L26" s="106" t="s">
        <v>151</v>
      </c>
      <c r="M26" s="106" t="s">
        <v>151</v>
      </c>
      <c r="N26" s="106" t="s">
        <v>151</v>
      </c>
      <c r="O26" s="106" t="s">
        <v>151</v>
      </c>
      <c r="P26" s="107" t="s">
        <v>151</v>
      </c>
      <c r="Q26" s="114" t="n">
        <v>72.57</v>
      </c>
      <c r="R26" s="69"/>
      <c r="S26" s="69"/>
      <c r="T26" s="69"/>
    </row>
    <row r="27" customFormat="false" ht="20.25" hidden="false" customHeight="true" outlineLevel="0" collapsed="false">
      <c r="A27" s="69"/>
      <c r="B27" s="101" t="s">
        <v>179</v>
      </c>
      <c r="C27" s="102" t="s">
        <v>151</v>
      </c>
      <c r="D27" s="103"/>
      <c r="E27" s="103"/>
      <c r="F27" s="103" t="s">
        <v>151</v>
      </c>
      <c r="G27" s="103" t="s">
        <v>151</v>
      </c>
      <c r="H27" s="106" t="s">
        <v>151</v>
      </c>
      <c r="I27" s="106" t="s">
        <v>151</v>
      </c>
      <c r="J27" s="106" t="s">
        <v>151</v>
      </c>
      <c r="K27" s="106" t="s">
        <v>151</v>
      </c>
      <c r="L27" s="106" t="s">
        <v>151</v>
      </c>
      <c r="M27" s="106" t="s">
        <v>151</v>
      </c>
      <c r="N27" s="106" t="s">
        <v>151</v>
      </c>
      <c r="O27" s="106" t="s">
        <v>151</v>
      </c>
      <c r="P27" s="107" t="s">
        <v>151</v>
      </c>
      <c r="Q27" s="114" t="s">
        <v>368</v>
      </c>
      <c r="R27" s="69"/>
      <c r="S27" s="69"/>
      <c r="T27" s="69"/>
    </row>
    <row r="28" customFormat="false" ht="20.25" hidden="false" customHeight="true" outlineLevel="0" collapsed="false">
      <c r="A28" s="69"/>
      <c r="B28" s="101" t="s">
        <v>401</v>
      </c>
      <c r="C28" s="102" t="s">
        <v>151</v>
      </c>
      <c r="D28" s="103" t="s">
        <v>151</v>
      </c>
      <c r="E28" s="103" t="s">
        <v>151</v>
      </c>
      <c r="F28" s="103" t="s">
        <v>151</v>
      </c>
      <c r="G28" s="103" t="s">
        <v>151</v>
      </c>
      <c r="H28" s="106" t="s">
        <v>151</v>
      </c>
      <c r="I28" s="106" t="s">
        <v>151</v>
      </c>
      <c r="J28" s="106" t="s">
        <v>151</v>
      </c>
      <c r="K28" s="106" t="s">
        <v>151</v>
      </c>
      <c r="L28" s="106" t="s">
        <v>151</v>
      </c>
      <c r="M28" s="106" t="s">
        <v>151</v>
      </c>
      <c r="N28" s="106" t="s">
        <v>151</v>
      </c>
      <c r="O28" s="106" t="s">
        <v>151</v>
      </c>
      <c r="P28" s="107" t="s">
        <v>151</v>
      </c>
      <c r="Q28" s="114" t="s">
        <v>368</v>
      </c>
      <c r="R28" s="69"/>
      <c r="S28" s="69"/>
      <c r="T28" s="69"/>
    </row>
    <row r="29" customFormat="false" ht="20.25" hidden="false" customHeight="true" outlineLevel="0" collapsed="false">
      <c r="A29" s="69"/>
      <c r="B29" s="101" t="s">
        <v>402</v>
      </c>
      <c r="C29" s="102" t="s">
        <v>151</v>
      </c>
      <c r="D29" s="103"/>
      <c r="E29" s="103"/>
      <c r="F29" s="103"/>
      <c r="G29" s="103" t="s">
        <v>151</v>
      </c>
      <c r="H29" s="106" t="s">
        <v>151</v>
      </c>
      <c r="I29" s="106" t="s">
        <v>151</v>
      </c>
      <c r="J29" s="106" t="s">
        <v>151</v>
      </c>
      <c r="K29" s="106" t="s">
        <v>151</v>
      </c>
      <c r="L29" s="106" t="s">
        <v>151</v>
      </c>
      <c r="M29" s="106" t="s">
        <v>151</v>
      </c>
      <c r="N29" s="106" t="s">
        <v>151</v>
      </c>
      <c r="O29" s="106" t="s">
        <v>151</v>
      </c>
      <c r="P29" s="107" t="s">
        <v>151</v>
      </c>
      <c r="Q29" s="114" t="s">
        <v>368</v>
      </c>
      <c r="R29" s="69"/>
      <c r="S29" s="69"/>
      <c r="T29" s="69"/>
    </row>
    <row r="30" customFormat="false" ht="30.75" hidden="false" customHeight="true" outlineLevel="0" collapsed="false">
      <c r="A30" s="69"/>
      <c r="B30" s="101" t="s">
        <v>403</v>
      </c>
      <c r="C30" s="102" t="s">
        <v>151</v>
      </c>
      <c r="D30" s="103" t="s">
        <v>151</v>
      </c>
      <c r="E30" s="103" t="s">
        <v>151</v>
      </c>
      <c r="F30" s="103" t="s">
        <v>151</v>
      </c>
      <c r="G30" s="103" t="s">
        <v>151</v>
      </c>
      <c r="H30" s="106" t="s">
        <v>151</v>
      </c>
      <c r="I30" s="106" t="s">
        <v>151</v>
      </c>
      <c r="J30" s="106" t="s">
        <v>151</v>
      </c>
      <c r="K30" s="106" t="s">
        <v>151</v>
      </c>
      <c r="L30" s="106" t="s">
        <v>151</v>
      </c>
      <c r="M30" s="106" t="s">
        <v>151</v>
      </c>
      <c r="N30" s="106" t="s">
        <v>151</v>
      </c>
      <c r="O30" s="106" t="s">
        <v>151</v>
      </c>
      <c r="P30" s="107" t="s">
        <v>151</v>
      </c>
      <c r="Q30" s="114" t="s">
        <v>368</v>
      </c>
      <c r="R30" s="69"/>
      <c r="S30" s="69"/>
      <c r="T30" s="69"/>
    </row>
    <row r="31" customFormat="false" ht="15" hidden="false" customHeight="false" outlineLevel="0" collapsed="false">
      <c r="A31" s="69"/>
      <c r="B31" s="101" t="s">
        <v>54</v>
      </c>
      <c r="C31" s="102" t="s">
        <v>151</v>
      </c>
      <c r="D31" s="103" t="s">
        <v>151</v>
      </c>
      <c r="E31" s="108" t="n">
        <v>1734.69</v>
      </c>
      <c r="F31" s="103" t="n">
        <v>905.22</v>
      </c>
      <c r="G31" s="103" t="n">
        <v>183.33</v>
      </c>
      <c r="H31" s="106" t="s">
        <v>151</v>
      </c>
      <c r="I31" s="106" t="s">
        <v>151</v>
      </c>
      <c r="J31" s="106" t="s">
        <v>151</v>
      </c>
      <c r="K31" s="106" t="s">
        <v>151</v>
      </c>
      <c r="L31" s="106" t="s">
        <v>151</v>
      </c>
      <c r="M31" s="106" t="s">
        <v>151</v>
      </c>
      <c r="N31" s="106" t="s">
        <v>151</v>
      </c>
      <c r="O31" s="106" t="s">
        <v>151</v>
      </c>
      <c r="P31" s="107" t="s">
        <v>151</v>
      </c>
      <c r="Q31" s="109" t="n">
        <v>2823.24</v>
      </c>
      <c r="R31" s="69"/>
      <c r="S31" s="69"/>
      <c r="T31" s="69"/>
    </row>
    <row r="32" customFormat="false" ht="20.25" hidden="false" customHeight="true" outlineLevel="0" collapsed="false">
      <c r="A32" s="69"/>
      <c r="B32" s="101" t="s">
        <v>404</v>
      </c>
      <c r="C32" s="102" t="s">
        <v>151</v>
      </c>
      <c r="D32" s="103" t="s">
        <v>151</v>
      </c>
      <c r="E32" s="103"/>
      <c r="F32" s="103"/>
      <c r="G32" s="103"/>
      <c r="H32" s="106" t="s">
        <v>151</v>
      </c>
      <c r="I32" s="106" t="s">
        <v>151</v>
      </c>
      <c r="J32" s="106" t="s">
        <v>151</v>
      </c>
      <c r="K32" s="106" t="s">
        <v>151</v>
      </c>
      <c r="L32" s="106" t="s">
        <v>151</v>
      </c>
      <c r="M32" s="106" t="s">
        <v>151</v>
      </c>
      <c r="N32" s="106" t="s">
        <v>151</v>
      </c>
      <c r="O32" s="106" t="s">
        <v>151</v>
      </c>
      <c r="P32" s="107" t="s">
        <v>151</v>
      </c>
      <c r="Q32" s="114" t="s">
        <v>368</v>
      </c>
      <c r="R32" s="69"/>
      <c r="S32" s="69"/>
      <c r="T32" s="69"/>
    </row>
    <row r="33" customFormat="false" ht="20.25" hidden="false" customHeight="true" outlineLevel="0" collapsed="false">
      <c r="A33" s="69"/>
      <c r="B33" s="101" t="s">
        <v>405</v>
      </c>
      <c r="C33" s="102" t="s">
        <v>151</v>
      </c>
      <c r="D33" s="103" t="s">
        <v>151</v>
      </c>
      <c r="E33" s="103" t="s">
        <v>151</v>
      </c>
      <c r="F33" s="103" t="s">
        <v>151</v>
      </c>
      <c r="G33" s="103" t="s">
        <v>151</v>
      </c>
      <c r="H33" s="106" t="s">
        <v>151</v>
      </c>
      <c r="I33" s="106" t="s">
        <v>151</v>
      </c>
      <c r="J33" s="106" t="s">
        <v>151</v>
      </c>
      <c r="K33" s="106" t="s">
        <v>151</v>
      </c>
      <c r="L33" s="106" t="s">
        <v>151</v>
      </c>
      <c r="M33" s="106" t="s">
        <v>151</v>
      </c>
      <c r="N33" s="106" t="s">
        <v>151</v>
      </c>
      <c r="O33" s="106" t="s">
        <v>151</v>
      </c>
      <c r="P33" s="107" t="s">
        <v>151</v>
      </c>
      <c r="Q33" s="114" t="s">
        <v>368</v>
      </c>
      <c r="R33" s="69"/>
      <c r="S33" s="69"/>
      <c r="T33" s="69"/>
    </row>
    <row r="34" customFormat="false" ht="20.25" hidden="false" customHeight="true" outlineLevel="0" collapsed="false">
      <c r="A34" s="69"/>
      <c r="B34" s="101" t="s">
        <v>406</v>
      </c>
      <c r="C34" s="102" t="s">
        <v>151</v>
      </c>
      <c r="D34" s="103" t="s">
        <v>151</v>
      </c>
      <c r="E34" s="103" t="s">
        <v>151</v>
      </c>
      <c r="F34" s="103" t="s">
        <v>151</v>
      </c>
      <c r="G34" s="103"/>
      <c r="H34" s="106" t="s">
        <v>151</v>
      </c>
      <c r="I34" s="106" t="s">
        <v>151</v>
      </c>
      <c r="J34" s="106" t="s">
        <v>151</v>
      </c>
      <c r="K34" s="106" t="s">
        <v>151</v>
      </c>
      <c r="L34" s="106" t="s">
        <v>151</v>
      </c>
      <c r="M34" s="106" t="s">
        <v>151</v>
      </c>
      <c r="N34" s="106" t="s">
        <v>151</v>
      </c>
      <c r="O34" s="106" t="s">
        <v>151</v>
      </c>
      <c r="P34" s="107" t="s">
        <v>151</v>
      </c>
      <c r="Q34" s="114" t="s">
        <v>368</v>
      </c>
      <c r="R34" s="69"/>
      <c r="S34" s="69"/>
      <c r="T34" s="69"/>
    </row>
    <row r="35" customFormat="false" ht="20.25" hidden="false" customHeight="true" outlineLevel="0" collapsed="false">
      <c r="A35" s="69"/>
      <c r="B35" s="101" t="s">
        <v>407</v>
      </c>
      <c r="C35" s="102" t="s">
        <v>151</v>
      </c>
      <c r="D35" s="103" t="s">
        <v>151</v>
      </c>
      <c r="E35" s="103" t="s">
        <v>151</v>
      </c>
      <c r="F35" s="103" t="s">
        <v>151</v>
      </c>
      <c r="G35" s="103" t="s">
        <v>151</v>
      </c>
      <c r="H35" s="106" t="s">
        <v>151</v>
      </c>
      <c r="I35" s="106" t="s">
        <v>151</v>
      </c>
      <c r="J35" s="106" t="s">
        <v>151</v>
      </c>
      <c r="K35" s="106" t="s">
        <v>151</v>
      </c>
      <c r="L35" s="106" t="s">
        <v>151</v>
      </c>
      <c r="M35" s="106" t="s">
        <v>151</v>
      </c>
      <c r="N35" s="106" t="s">
        <v>151</v>
      </c>
      <c r="O35" s="106" t="s">
        <v>151</v>
      </c>
      <c r="P35" s="107" t="s">
        <v>151</v>
      </c>
      <c r="Q35" s="114" t="s">
        <v>368</v>
      </c>
      <c r="R35" s="69"/>
      <c r="S35" s="69"/>
      <c r="T35" s="69"/>
    </row>
    <row r="36" customFormat="false" ht="20.25" hidden="false" customHeight="true" outlineLevel="0" collapsed="false">
      <c r="A36" s="69"/>
      <c r="B36" s="101" t="s">
        <v>408</v>
      </c>
      <c r="C36" s="102" t="s">
        <v>151</v>
      </c>
      <c r="D36" s="103" t="s">
        <v>151</v>
      </c>
      <c r="E36" s="103" t="s">
        <v>151</v>
      </c>
      <c r="F36" s="103" t="s">
        <v>151</v>
      </c>
      <c r="G36" s="103"/>
      <c r="H36" s="106" t="s">
        <v>151</v>
      </c>
      <c r="I36" s="106" t="s">
        <v>151</v>
      </c>
      <c r="J36" s="106" t="s">
        <v>151</v>
      </c>
      <c r="K36" s="106" t="s">
        <v>151</v>
      </c>
      <c r="L36" s="106" t="s">
        <v>151</v>
      </c>
      <c r="M36" s="106" t="s">
        <v>151</v>
      </c>
      <c r="N36" s="106" t="s">
        <v>151</v>
      </c>
      <c r="O36" s="106" t="s">
        <v>151</v>
      </c>
      <c r="P36" s="107" t="s">
        <v>151</v>
      </c>
      <c r="Q36" s="114" t="s">
        <v>368</v>
      </c>
      <c r="R36" s="69"/>
      <c r="S36" s="69"/>
      <c r="T36" s="69"/>
    </row>
    <row r="37" customFormat="false" ht="15" hidden="false" customHeight="false" outlineLevel="0" collapsed="false">
      <c r="A37" s="69"/>
      <c r="B37" s="101" t="s">
        <v>409</v>
      </c>
      <c r="C37" s="102" t="s">
        <v>151</v>
      </c>
      <c r="D37" s="103" t="s">
        <v>151</v>
      </c>
      <c r="E37" s="103" t="s">
        <v>151</v>
      </c>
      <c r="F37" s="103" t="n">
        <v>834.39</v>
      </c>
      <c r="G37" s="103" t="s">
        <v>151</v>
      </c>
      <c r="H37" s="106" t="s">
        <v>151</v>
      </c>
      <c r="I37" s="106" t="s">
        <v>151</v>
      </c>
      <c r="J37" s="106" t="s">
        <v>151</v>
      </c>
      <c r="K37" s="106" t="s">
        <v>151</v>
      </c>
      <c r="L37" s="106" t="s">
        <v>151</v>
      </c>
      <c r="M37" s="106" t="s">
        <v>151</v>
      </c>
      <c r="N37" s="106" t="s">
        <v>151</v>
      </c>
      <c r="O37" s="106" t="s">
        <v>151</v>
      </c>
      <c r="P37" s="107" t="s">
        <v>151</v>
      </c>
      <c r="Q37" s="114" t="n">
        <v>834.39</v>
      </c>
      <c r="R37" s="69"/>
      <c r="S37" s="69"/>
      <c r="T37" s="69"/>
    </row>
    <row r="38" customFormat="false" ht="20.25" hidden="false" customHeight="true" outlineLevel="0" collapsed="false">
      <c r="A38" s="69"/>
      <c r="B38" s="101" t="s">
        <v>410</v>
      </c>
      <c r="C38" s="102" t="s">
        <v>151</v>
      </c>
      <c r="D38" s="103"/>
      <c r="E38" s="103" t="s">
        <v>151</v>
      </c>
      <c r="F38" s="103"/>
      <c r="G38" s="103"/>
      <c r="H38" s="106" t="s">
        <v>151</v>
      </c>
      <c r="I38" s="106" t="s">
        <v>151</v>
      </c>
      <c r="J38" s="106" t="s">
        <v>151</v>
      </c>
      <c r="K38" s="106" t="s">
        <v>151</v>
      </c>
      <c r="L38" s="106" t="s">
        <v>151</v>
      </c>
      <c r="M38" s="106" t="s">
        <v>151</v>
      </c>
      <c r="N38" s="106" t="s">
        <v>151</v>
      </c>
      <c r="O38" s="106" t="s">
        <v>151</v>
      </c>
      <c r="P38" s="107" t="s">
        <v>151</v>
      </c>
      <c r="Q38" s="114" t="s">
        <v>368</v>
      </c>
      <c r="R38" s="69"/>
      <c r="S38" s="69"/>
      <c r="T38" s="69"/>
    </row>
    <row r="39" customFormat="false" ht="20.25" hidden="false" customHeight="true" outlineLevel="0" collapsed="false">
      <c r="A39" s="69"/>
      <c r="B39" s="101" t="s">
        <v>411</v>
      </c>
      <c r="C39" s="102" t="s">
        <v>151</v>
      </c>
      <c r="D39" s="103" t="s">
        <v>151</v>
      </c>
      <c r="E39" s="103" t="s">
        <v>151</v>
      </c>
      <c r="F39" s="103" t="s">
        <v>151</v>
      </c>
      <c r="G39" s="103" t="s">
        <v>151</v>
      </c>
      <c r="H39" s="106" t="s">
        <v>151</v>
      </c>
      <c r="I39" s="106" t="s">
        <v>151</v>
      </c>
      <c r="J39" s="106" t="s">
        <v>151</v>
      </c>
      <c r="K39" s="106" t="s">
        <v>151</v>
      </c>
      <c r="L39" s="106" t="s">
        <v>151</v>
      </c>
      <c r="M39" s="106" t="s">
        <v>151</v>
      </c>
      <c r="N39" s="106" t="s">
        <v>151</v>
      </c>
      <c r="O39" s="106" t="s">
        <v>151</v>
      </c>
      <c r="P39" s="107" t="s">
        <v>151</v>
      </c>
      <c r="Q39" s="114" t="s">
        <v>368</v>
      </c>
      <c r="R39" s="69"/>
      <c r="S39" s="69"/>
      <c r="T39" s="69"/>
    </row>
    <row r="40" customFormat="false" ht="20.25" hidden="false" customHeight="true" outlineLevel="0" collapsed="false">
      <c r="A40" s="69"/>
      <c r="B40" s="101" t="s">
        <v>412</v>
      </c>
      <c r="C40" s="102" t="s">
        <v>151</v>
      </c>
      <c r="D40" s="103" t="s">
        <v>151</v>
      </c>
      <c r="E40" s="103" t="s">
        <v>151</v>
      </c>
      <c r="F40" s="103"/>
      <c r="G40" s="103" t="s">
        <v>151</v>
      </c>
      <c r="H40" s="106" t="s">
        <v>151</v>
      </c>
      <c r="I40" s="106" t="s">
        <v>151</v>
      </c>
      <c r="J40" s="106" t="s">
        <v>151</v>
      </c>
      <c r="K40" s="106" t="s">
        <v>151</v>
      </c>
      <c r="L40" s="106" t="s">
        <v>151</v>
      </c>
      <c r="M40" s="106" t="s">
        <v>151</v>
      </c>
      <c r="N40" s="106" t="s">
        <v>151</v>
      </c>
      <c r="O40" s="106" t="s">
        <v>151</v>
      </c>
      <c r="P40" s="107" t="s">
        <v>151</v>
      </c>
      <c r="Q40" s="114" t="s">
        <v>368</v>
      </c>
      <c r="R40" s="69"/>
      <c r="S40" s="69"/>
      <c r="T40" s="69"/>
    </row>
    <row r="41" customFormat="false" ht="20.25" hidden="false" customHeight="true" outlineLevel="0" collapsed="false">
      <c r="A41" s="69"/>
      <c r="B41" s="101" t="s">
        <v>53</v>
      </c>
      <c r="C41" s="102" t="s">
        <v>151</v>
      </c>
      <c r="D41" s="108" t="n">
        <v>2626.36</v>
      </c>
      <c r="E41" s="103" t="s">
        <v>151</v>
      </c>
      <c r="F41" s="103" t="s">
        <v>151</v>
      </c>
      <c r="G41" s="103" t="s">
        <v>151</v>
      </c>
      <c r="H41" s="101" t="s">
        <v>151</v>
      </c>
      <c r="I41" s="101" t="s">
        <v>151</v>
      </c>
      <c r="J41" s="101" t="s">
        <v>151</v>
      </c>
      <c r="K41" s="101" t="s">
        <v>151</v>
      </c>
      <c r="L41" s="101" t="s">
        <v>151</v>
      </c>
      <c r="M41" s="101" t="s">
        <v>151</v>
      </c>
      <c r="N41" s="101" t="s">
        <v>151</v>
      </c>
      <c r="O41" s="101" t="s">
        <v>151</v>
      </c>
      <c r="P41" s="124" t="s">
        <v>151</v>
      </c>
      <c r="Q41" s="109" t="n">
        <v>2626.36</v>
      </c>
      <c r="R41" s="69"/>
      <c r="S41" s="69"/>
      <c r="T41" s="69"/>
    </row>
    <row r="42" customFormat="false" ht="20.25" hidden="false" customHeight="true" outlineLevel="0" collapsed="false">
      <c r="A42" s="69"/>
      <c r="B42" s="101" t="s">
        <v>413</v>
      </c>
      <c r="C42" s="102" t="s">
        <v>151</v>
      </c>
      <c r="D42" s="103" t="s">
        <v>151</v>
      </c>
      <c r="E42" s="103" t="s">
        <v>151</v>
      </c>
      <c r="F42" s="103" t="s">
        <v>151</v>
      </c>
      <c r="G42" s="103"/>
      <c r="H42" s="106" t="s">
        <v>151</v>
      </c>
      <c r="I42" s="106" t="s">
        <v>151</v>
      </c>
      <c r="J42" s="106" t="s">
        <v>151</v>
      </c>
      <c r="K42" s="106" t="s">
        <v>151</v>
      </c>
      <c r="L42" s="106" t="s">
        <v>151</v>
      </c>
      <c r="M42" s="106" t="s">
        <v>151</v>
      </c>
      <c r="N42" s="106" t="s">
        <v>151</v>
      </c>
      <c r="O42" s="106" t="s">
        <v>151</v>
      </c>
      <c r="P42" s="107" t="s">
        <v>151</v>
      </c>
      <c r="Q42" s="114" t="s">
        <v>368</v>
      </c>
      <c r="R42" s="69"/>
      <c r="S42" s="69"/>
      <c r="T42" s="69"/>
    </row>
    <row r="43" customFormat="false" ht="30.75" hidden="false" customHeight="true" outlineLevel="0" collapsed="false">
      <c r="A43" s="69"/>
      <c r="B43" s="101" t="s">
        <v>414</v>
      </c>
      <c r="C43" s="102" t="s">
        <v>151</v>
      </c>
      <c r="D43" s="103"/>
      <c r="E43" s="103" t="s">
        <v>151</v>
      </c>
      <c r="F43" s="103"/>
      <c r="G43" s="103" t="s">
        <v>151</v>
      </c>
      <c r="H43" s="106" t="s">
        <v>151</v>
      </c>
      <c r="I43" s="106" t="s">
        <v>151</v>
      </c>
      <c r="J43" s="106" t="s">
        <v>151</v>
      </c>
      <c r="K43" s="106" t="s">
        <v>151</v>
      </c>
      <c r="L43" s="106" t="s">
        <v>151</v>
      </c>
      <c r="M43" s="106" t="s">
        <v>151</v>
      </c>
      <c r="N43" s="106" t="s">
        <v>151</v>
      </c>
      <c r="O43" s="106" t="s">
        <v>151</v>
      </c>
      <c r="P43" s="107" t="s">
        <v>151</v>
      </c>
      <c r="Q43" s="114" t="s">
        <v>368</v>
      </c>
      <c r="R43" s="69"/>
      <c r="S43" s="69"/>
      <c r="T43" s="69"/>
    </row>
    <row r="44" customFormat="false" ht="20.25" hidden="false" customHeight="true" outlineLevel="0" collapsed="false">
      <c r="A44" s="69"/>
      <c r="B44" s="101" t="s">
        <v>415</v>
      </c>
      <c r="C44" s="102" t="s">
        <v>151</v>
      </c>
      <c r="D44" s="103" t="s">
        <v>151</v>
      </c>
      <c r="E44" s="103" t="s">
        <v>151</v>
      </c>
      <c r="F44" s="103" t="s">
        <v>151</v>
      </c>
      <c r="G44" s="103" t="s">
        <v>151</v>
      </c>
      <c r="H44" s="106" t="s">
        <v>151</v>
      </c>
      <c r="I44" s="106" t="s">
        <v>151</v>
      </c>
      <c r="J44" s="106" t="s">
        <v>151</v>
      </c>
      <c r="K44" s="106" t="s">
        <v>151</v>
      </c>
      <c r="L44" s="106" t="s">
        <v>151</v>
      </c>
      <c r="M44" s="106" t="s">
        <v>151</v>
      </c>
      <c r="N44" s="106" t="s">
        <v>151</v>
      </c>
      <c r="O44" s="106" t="s">
        <v>151</v>
      </c>
      <c r="P44" s="107" t="s">
        <v>151</v>
      </c>
      <c r="Q44" s="114" t="s">
        <v>368</v>
      </c>
      <c r="R44" s="69"/>
      <c r="S44" s="69"/>
      <c r="T44" s="69"/>
    </row>
    <row r="45" customFormat="false" ht="15" hidden="false" customHeight="false" outlineLevel="0" collapsed="false">
      <c r="A45" s="69"/>
      <c r="B45" s="101" t="s">
        <v>416</v>
      </c>
      <c r="C45" s="102" t="s">
        <v>151</v>
      </c>
      <c r="D45" s="103"/>
      <c r="E45" s="103"/>
      <c r="F45" s="103" t="n">
        <v>0.65</v>
      </c>
      <c r="G45" s="103"/>
      <c r="H45" s="101" t="s">
        <v>151</v>
      </c>
      <c r="I45" s="101" t="s">
        <v>151</v>
      </c>
      <c r="J45" s="101" t="s">
        <v>151</v>
      </c>
      <c r="K45" s="101" t="s">
        <v>151</v>
      </c>
      <c r="L45" s="101" t="s">
        <v>151</v>
      </c>
      <c r="M45" s="101" t="s">
        <v>151</v>
      </c>
      <c r="N45" s="101" t="s">
        <v>151</v>
      </c>
      <c r="O45" s="101" t="s">
        <v>151</v>
      </c>
      <c r="P45" s="124" t="s">
        <v>151</v>
      </c>
      <c r="Q45" s="114" t="n">
        <v>0.65</v>
      </c>
      <c r="R45" s="69"/>
      <c r="S45" s="69"/>
      <c r="T45" s="69"/>
    </row>
    <row r="46" customFormat="false" ht="30.75" hidden="false" customHeight="true" outlineLevel="0" collapsed="false">
      <c r="A46" s="69"/>
      <c r="B46" s="101" t="s">
        <v>417</v>
      </c>
      <c r="C46" s="102" t="s">
        <v>151</v>
      </c>
      <c r="D46" s="103" t="s">
        <v>151</v>
      </c>
      <c r="E46" s="103" t="s">
        <v>151</v>
      </c>
      <c r="F46" s="103" t="s">
        <v>151</v>
      </c>
      <c r="G46" s="103" t="s">
        <v>151</v>
      </c>
      <c r="H46" s="106" t="s">
        <v>151</v>
      </c>
      <c r="I46" s="106" t="s">
        <v>151</v>
      </c>
      <c r="J46" s="106" t="s">
        <v>151</v>
      </c>
      <c r="K46" s="106" t="s">
        <v>151</v>
      </c>
      <c r="L46" s="106" t="s">
        <v>151</v>
      </c>
      <c r="M46" s="106" t="s">
        <v>151</v>
      </c>
      <c r="N46" s="106" t="s">
        <v>151</v>
      </c>
      <c r="O46" s="106" t="s">
        <v>151</v>
      </c>
      <c r="P46" s="107" t="s">
        <v>151</v>
      </c>
      <c r="Q46" s="114" t="s">
        <v>368</v>
      </c>
      <c r="R46" s="69"/>
      <c r="S46" s="69"/>
      <c r="T46" s="69"/>
    </row>
    <row r="47" customFormat="false" ht="20.25" hidden="false" customHeight="true" outlineLevel="0" collapsed="false">
      <c r="A47" s="69"/>
      <c r="B47" s="101" t="s">
        <v>418</v>
      </c>
      <c r="C47" s="102" t="s">
        <v>151</v>
      </c>
      <c r="D47" s="103"/>
      <c r="E47" s="103"/>
      <c r="F47" s="103"/>
      <c r="G47" s="103"/>
      <c r="H47" s="106" t="s">
        <v>151</v>
      </c>
      <c r="I47" s="106" t="s">
        <v>151</v>
      </c>
      <c r="J47" s="106" t="s">
        <v>151</v>
      </c>
      <c r="K47" s="106" t="s">
        <v>151</v>
      </c>
      <c r="L47" s="106" t="s">
        <v>151</v>
      </c>
      <c r="M47" s="106" t="s">
        <v>151</v>
      </c>
      <c r="N47" s="106" t="s">
        <v>151</v>
      </c>
      <c r="O47" s="106" t="s">
        <v>151</v>
      </c>
      <c r="P47" s="107" t="s">
        <v>151</v>
      </c>
      <c r="Q47" s="114" t="s">
        <v>368</v>
      </c>
      <c r="R47" s="69"/>
      <c r="S47" s="69"/>
      <c r="T47" s="69"/>
    </row>
    <row r="48" customFormat="false" ht="15" hidden="false" customHeight="false" outlineLevel="0" collapsed="false">
      <c r="A48" s="69"/>
      <c r="B48" s="101" t="s">
        <v>419</v>
      </c>
      <c r="C48" s="102" t="s">
        <v>151</v>
      </c>
      <c r="D48" s="103" t="n">
        <v>105.35</v>
      </c>
      <c r="E48" s="103" t="s">
        <v>151</v>
      </c>
      <c r="F48" s="103" t="s">
        <v>151</v>
      </c>
      <c r="G48" s="103" t="s">
        <v>151</v>
      </c>
      <c r="H48" s="106" t="s">
        <v>151</v>
      </c>
      <c r="I48" s="106" t="s">
        <v>151</v>
      </c>
      <c r="J48" s="106" t="s">
        <v>151</v>
      </c>
      <c r="K48" s="106" t="s">
        <v>151</v>
      </c>
      <c r="L48" s="106" t="s">
        <v>151</v>
      </c>
      <c r="M48" s="106" t="s">
        <v>151</v>
      </c>
      <c r="N48" s="106" t="s">
        <v>151</v>
      </c>
      <c r="O48" s="106" t="s">
        <v>151</v>
      </c>
      <c r="P48" s="107" t="s">
        <v>151</v>
      </c>
      <c r="Q48" s="114" t="n">
        <v>105.35</v>
      </c>
      <c r="R48" s="69"/>
      <c r="S48" s="69"/>
      <c r="T48" s="69"/>
    </row>
    <row r="49" customFormat="false" ht="20.25" hidden="false" customHeight="true" outlineLevel="0" collapsed="false">
      <c r="A49" s="69"/>
      <c r="B49" s="101" t="s">
        <v>420</v>
      </c>
      <c r="C49" s="102" t="s">
        <v>151</v>
      </c>
      <c r="D49" s="103" t="s">
        <v>151</v>
      </c>
      <c r="E49" s="103" t="s">
        <v>151</v>
      </c>
      <c r="F49" s="103"/>
      <c r="G49" s="103"/>
      <c r="H49" s="106" t="s">
        <v>151</v>
      </c>
      <c r="I49" s="106" t="s">
        <v>151</v>
      </c>
      <c r="J49" s="106" t="s">
        <v>151</v>
      </c>
      <c r="K49" s="106" t="s">
        <v>151</v>
      </c>
      <c r="L49" s="106" t="s">
        <v>151</v>
      </c>
      <c r="M49" s="106" t="s">
        <v>151</v>
      </c>
      <c r="N49" s="106" t="s">
        <v>151</v>
      </c>
      <c r="O49" s="106" t="s">
        <v>151</v>
      </c>
      <c r="P49" s="107" t="s">
        <v>151</v>
      </c>
      <c r="Q49" s="114" t="s">
        <v>368</v>
      </c>
      <c r="R49" s="69"/>
      <c r="S49" s="69"/>
      <c r="T49" s="69"/>
    </row>
    <row r="50" customFormat="false" ht="20.25" hidden="false" customHeight="true" outlineLevel="0" collapsed="false">
      <c r="A50" s="69"/>
      <c r="B50" s="101" t="s">
        <v>421</v>
      </c>
      <c r="C50" s="102" t="s">
        <v>151</v>
      </c>
      <c r="D50" s="103"/>
      <c r="E50" s="103"/>
      <c r="F50" s="103" t="s">
        <v>151</v>
      </c>
      <c r="G50" s="103" t="s">
        <v>151</v>
      </c>
      <c r="H50" s="106" t="s">
        <v>151</v>
      </c>
      <c r="I50" s="106" t="s">
        <v>151</v>
      </c>
      <c r="J50" s="106" t="s">
        <v>151</v>
      </c>
      <c r="K50" s="106" t="s">
        <v>151</v>
      </c>
      <c r="L50" s="106" t="s">
        <v>151</v>
      </c>
      <c r="M50" s="106" t="s">
        <v>151</v>
      </c>
      <c r="N50" s="106" t="s">
        <v>151</v>
      </c>
      <c r="O50" s="106" t="s">
        <v>151</v>
      </c>
      <c r="P50" s="107" t="s">
        <v>151</v>
      </c>
      <c r="Q50" s="114" t="s">
        <v>368</v>
      </c>
      <c r="R50" s="69"/>
      <c r="S50" s="69"/>
      <c r="T50" s="69"/>
    </row>
    <row r="51" customFormat="false" ht="20.25" hidden="false" customHeight="true" outlineLevel="0" collapsed="false">
      <c r="A51" s="69"/>
      <c r="B51" s="101" t="s">
        <v>422</v>
      </c>
      <c r="C51" s="102" t="s">
        <v>151</v>
      </c>
      <c r="D51" s="105" t="s">
        <v>151</v>
      </c>
      <c r="E51" s="105" t="s">
        <v>151</v>
      </c>
      <c r="F51" s="105" t="s">
        <v>151</v>
      </c>
      <c r="G51" s="105" t="s">
        <v>151</v>
      </c>
      <c r="H51" s="106" t="s">
        <v>151</v>
      </c>
      <c r="I51" s="106" t="s">
        <v>151</v>
      </c>
      <c r="J51" s="106" t="s">
        <v>151</v>
      </c>
      <c r="K51" s="106" t="s">
        <v>151</v>
      </c>
      <c r="L51" s="106" t="s">
        <v>151</v>
      </c>
      <c r="M51" s="106" t="s">
        <v>151</v>
      </c>
      <c r="N51" s="106" t="s">
        <v>151</v>
      </c>
      <c r="O51" s="106" t="s">
        <v>151</v>
      </c>
      <c r="P51" s="107" t="s">
        <v>151</v>
      </c>
      <c r="Q51" s="114" t="s">
        <v>368</v>
      </c>
      <c r="R51" s="69"/>
      <c r="S51" s="69"/>
      <c r="T51" s="69"/>
    </row>
    <row r="52" customFormat="false" ht="20.25" hidden="false" customHeight="true" outlineLevel="0" collapsed="false">
      <c r="A52" s="69"/>
      <c r="B52" s="115" t="s">
        <v>423</v>
      </c>
      <c r="C52" s="102" t="s">
        <v>151</v>
      </c>
      <c r="D52" s="117" t="n">
        <v>2731.71</v>
      </c>
      <c r="E52" s="117" t="n">
        <v>4409.78</v>
      </c>
      <c r="F52" s="117" t="n">
        <v>1740.26</v>
      </c>
      <c r="G52" s="117" t="n">
        <v>5759.37</v>
      </c>
      <c r="H52" s="107" t="s">
        <v>377</v>
      </c>
      <c r="I52" s="107" t="s">
        <v>377</v>
      </c>
      <c r="J52" s="107" t="s">
        <v>377</v>
      </c>
      <c r="K52" s="107" t="s">
        <v>378</v>
      </c>
      <c r="L52" s="107" t="s">
        <v>378</v>
      </c>
      <c r="M52" s="107" t="s">
        <v>378</v>
      </c>
      <c r="N52" s="107" t="s">
        <v>378</v>
      </c>
      <c r="O52" s="107" t="s">
        <v>378</v>
      </c>
      <c r="P52" s="107" t="s">
        <v>378</v>
      </c>
      <c r="Q52" s="125" t="n">
        <v>14641.12</v>
      </c>
      <c r="R52" s="69"/>
      <c r="S52" s="69"/>
      <c r="T52" s="69"/>
    </row>
    <row r="53" customFormat="false" ht="15" hidden="false" customHeight="false" outlineLevel="0" collapsed="false">
      <c r="A53" s="69"/>
      <c r="B53" s="126" t="s">
        <v>151</v>
      </c>
      <c r="C53" s="102" t="s">
        <v>151</v>
      </c>
      <c r="D53" s="105" t="s">
        <v>151</v>
      </c>
      <c r="E53" s="105" t="s">
        <v>151</v>
      </c>
      <c r="F53" s="105" t="s">
        <v>151</v>
      </c>
      <c r="G53" s="105" t="s">
        <v>151</v>
      </c>
      <c r="H53" s="106" t="s">
        <v>151</v>
      </c>
      <c r="I53" s="106" t="s">
        <v>151</v>
      </c>
      <c r="J53" s="106" t="s">
        <v>151</v>
      </c>
      <c r="K53" s="106" t="s">
        <v>151</v>
      </c>
      <c r="L53" s="106" t="s">
        <v>151</v>
      </c>
      <c r="M53" s="106" t="s">
        <v>151</v>
      </c>
      <c r="N53" s="106" t="s">
        <v>151</v>
      </c>
      <c r="O53" s="106" t="s">
        <v>151</v>
      </c>
      <c r="P53" s="107" t="s">
        <v>151</v>
      </c>
      <c r="Q53" s="114" t="s">
        <v>151</v>
      </c>
      <c r="R53" s="69"/>
      <c r="S53" s="69"/>
      <c r="T53" s="69"/>
    </row>
    <row r="54" customFormat="false" ht="20.25" hidden="false" customHeight="true" outlineLevel="0" collapsed="false">
      <c r="A54" s="69"/>
      <c r="B54" s="101" t="s">
        <v>424</v>
      </c>
      <c r="C54" s="102" t="s">
        <v>151</v>
      </c>
      <c r="D54" s="105" t="s">
        <v>151</v>
      </c>
      <c r="E54" s="105" t="s">
        <v>151</v>
      </c>
      <c r="F54" s="105" t="s">
        <v>151</v>
      </c>
      <c r="G54" s="105" t="s">
        <v>151</v>
      </c>
      <c r="H54" s="106" t="s">
        <v>151</v>
      </c>
      <c r="I54" s="106" t="s">
        <v>151</v>
      </c>
      <c r="J54" s="106" t="s">
        <v>151</v>
      </c>
      <c r="K54" s="106" t="s">
        <v>151</v>
      </c>
      <c r="L54" s="106" t="s">
        <v>151</v>
      </c>
      <c r="M54" s="106" t="s">
        <v>151</v>
      </c>
      <c r="N54" s="106" t="s">
        <v>151</v>
      </c>
      <c r="O54" s="106" t="s">
        <v>151</v>
      </c>
      <c r="P54" s="107" t="s">
        <v>151</v>
      </c>
      <c r="Q54" s="114" t="s">
        <v>368</v>
      </c>
      <c r="R54" s="69"/>
      <c r="S54" s="69"/>
      <c r="T54" s="69"/>
    </row>
    <row r="55" customFormat="false" ht="15" hidden="false" customHeight="false" outlineLevel="0" collapsed="false">
      <c r="A55" s="69"/>
      <c r="B55" s="101" t="s">
        <v>425</v>
      </c>
      <c r="C55" s="102" t="s">
        <v>151</v>
      </c>
      <c r="D55" s="127" t="n">
        <v>236.5</v>
      </c>
      <c r="E55" s="105" t="s">
        <v>151</v>
      </c>
      <c r="F55" s="127" t="n">
        <v>417.88</v>
      </c>
      <c r="G55" s="105" t="s">
        <v>151</v>
      </c>
      <c r="H55" s="106" t="s">
        <v>151</v>
      </c>
      <c r="I55" s="106" t="s">
        <v>151</v>
      </c>
      <c r="J55" s="106" t="s">
        <v>151</v>
      </c>
      <c r="K55" s="106" t="s">
        <v>151</v>
      </c>
      <c r="L55" s="106" t="s">
        <v>151</v>
      </c>
      <c r="M55" s="106" t="s">
        <v>151</v>
      </c>
      <c r="N55" s="106" t="s">
        <v>151</v>
      </c>
      <c r="O55" s="106" t="s">
        <v>151</v>
      </c>
      <c r="P55" s="107" t="s">
        <v>151</v>
      </c>
      <c r="Q55" s="114" t="n">
        <v>654.38</v>
      </c>
      <c r="R55" s="69"/>
      <c r="S55" s="69"/>
      <c r="T55" s="69"/>
    </row>
    <row r="56" customFormat="false" ht="20.25" hidden="false" customHeight="true" outlineLevel="0" collapsed="false">
      <c r="A56" s="69"/>
      <c r="B56" s="101" t="s">
        <v>426</v>
      </c>
      <c r="C56" s="102" t="s">
        <v>151</v>
      </c>
      <c r="D56" s="105" t="s">
        <v>151</v>
      </c>
      <c r="E56" s="105" t="s">
        <v>151</v>
      </c>
      <c r="F56" s="105" t="s">
        <v>151</v>
      </c>
      <c r="G56" s="105" t="s">
        <v>151</v>
      </c>
      <c r="H56" s="106" t="s">
        <v>151</v>
      </c>
      <c r="I56" s="106" t="s">
        <v>151</v>
      </c>
      <c r="J56" s="106" t="s">
        <v>151</v>
      </c>
      <c r="K56" s="106" t="s">
        <v>151</v>
      </c>
      <c r="L56" s="106" t="s">
        <v>151</v>
      </c>
      <c r="M56" s="106" t="s">
        <v>151</v>
      </c>
      <c r="N56" s="106" t="s">
        <v>151</v>
      </c>
      <c r="O56" s="106" t="s">
        <v>151</v>
      </c>
      <c r="P56" s="107" t="s">
        <v>151</v>
      </c>
      <c r="Q56" s="114" t="s">
        <v>368</v>
      </c>
      <c r="R56" s="69"/>
      <c r="S56" s="69"/>
      <c r="T56" s="69"/>
    </row>
    <row r="57" customFormat="false" ht="20.25" hidden="false" customHeight="true" outlineLevel="0" collapsed="false">
      <c r="A57" s="69"/>
      <c r="B57" s="101" t="s">
        <v>427</v>
      </c>
      <c r="C57" s="102" t="s">
        <v>151</v>
      </c>
      <c r="D57" s="105" t="s">
        <v>151</v>
      </c>
      <c r="E57" s="105" t="s">
        <v>151</v>
      </c>
      <c r="F57" s="105" t="s">
        <v>151</v>
      </c>
      <c r="G57" s="105" t="s">
        <v>151</v>
      </c>
      <c r="H57" s="106" t="s">
        <v>151</v>
      </c>
      <c r="I57" s="106" t="s">
        <v>151</v>
      </c>
      <c r="J57" s="106" t="s">
        <v>151</v>
      </c>
      <c r="K57" s="106" t="s">
        <v>151</v>
      </c>
      <c r="L57" s="106" t="s">
        <v>151</v>
      </c>
      <c r="M57" s="106" t="s">
        <v>151</v>
      </c>
      <c r="N57" s="106" t="s">
        <v>151</v>
      </c>
      <c r="O57" s="106" t="s">
        <v>151</v>
      </c>
      <c r="P57" s="107" t="s">
        <v>151</v>
      </c>
      <c r="Q57" s="114" t="s">
        <v>368</v>
      </c>
      <c r="R57" s="69"/>
      <c r="S57" s="69"/>
      <c r="T57" s="69"/>
    </row>
    <row r="58" customFormat="false" ht="15" hidden="false" customHeight="false" outlineLevel="0" collapsed="false">
      <c r="A58" s="69"/>
      <c r="B58" s="101" t="s">
        <v>428</v>
      </c>
      <c r="C58" s="102" t="s">
        <v>151</v>
      </c>
      <c r="D58" s="127" t="n">
        <v>115.57</v>
      </c>
      <c r="E58" s="105" t="s">
        <v>151</v>
      </c>
      <c r="F58" s="127" t="n">
        <v>148.95</v>
      </c>
      <c r="G58" s="105" t="s">
        <v>151</v>
      </c>
      <c r="H58" s="106" t="s">
        <v>151</v>
      </c>
      <c r="I58" s="106" t="s">
        <v>151</v>
      </c>
      <c r="J58" s="106" t="s">
        <v>151</v>
      </c>
      <c r="K58" s="106" t="s">
        <v>151</v>
      </c>
      <c r="L58" s="106" t="s">
        <v>151</v>
      </c>
      <c r="M58" s="106" t="s">
        <v>151</v>
      </c>
      <c r="N58" s="106" t="s">
        <v>151</v>
      </c>
      <c r="O58" s="106" t="s">
        <v>151</v>
      </c>
      <c r="P58" s="107" t="s">
        <v>151</v>
      </c>
      <c r="Q58" s="114" t="n">
        <v>264.52</v>
      </c>
      <c r="R58" s="69"/>
      <c r="S58" s="69"/>
      <c r="T58" s="69"/>
    </row>
    <row r="59" customFormat="false" ht="20.25" hidden="false" customHeight="true" outlineLevel="0" collapsed="false">
      <c r="A59" s="69"/>
      <c r="B59" s="101" t="s">
        <v>429</v>
      </c>
      <c r="C59" s="102" t="s">
        <v>151</v>
      </c>
      <c r="D59" s="105" t="s">
        <v>151</v>
      </c>
      <c r="E59" s="105" t="s">
        <v>151</v>
      </c>
      <c r="F59" s="105" t="s">
        <v>151</v>
      </c>
      <c r="G59" s="105" t="s">
        <v>151</v>
      </c>
      <c r="H59" s="106" t="s">
        <v>151</v>
      </c>
      <c r="I59" s="106" t="s">
        <v>151</v>
      </c>
      <c r="J59" s="106" t="s">
        <v>151</v>
      </c>
      <c r="K59" s="106" t="s">
        <v>151</v>
      </c>
      <c r="L59" s="106" t="s">
        <v>151</v>
      </c>
      <c r="M59" s="106" t="s">
        <v>151</v>
      </c>
      <c r="N59" s="106" t="s">
        <v>151</v>
      </c>
      <c r="O59" s="106" t="s">
        <v>151</v>
      </c>
      <c r="P59" s="107" t="s">
        <v>151</v>
      </c>
      <c r="Q59" s="114" t="s">
        <v>368</v>
      </c>
      <c r="R59" s="69"/>
      <c r="S59" s="69"/>
      <c r="T59" s="69"/>
    </row>
    <row r="60" customFormat="false" ht="20.25" hidden="false" customHeight="true" outlineLevel="0" collapsed="false">
      <c r="A60" s="69"/>
      <c r="B60" s="101" t="s">
        <v>264</v>
      </c>
      <c r="C60" s="102" t="s">
        <v>151</v>
      </c>
      <c r="D60" s="105" t="s">
        <v>151</v>
      </c>
      <c r="E60" s="105" t="s">
        <v>151</v>
      </c>
      <c r="F60" s="105" t="s">
        <v>151</v>
      </c>
      <c r="G60" s="105" t="s">
        <v>151</v>
      </c>
      <c r="H60" s="106" t="s">
        <v>151</v>
      </c>
      <c r="I60" s="106" t="s">
        <v>151</v>
      </c>
      <c r="J60" s="106" t="s">
        <v>151</v>
      </c>
      <c r="K60" s="106" t="s">
        <v>151</v>
      </c>
      <c r="L60" s="106" t="s">
        <v>151</v>
      </c>
      <c r="M60" s="106" t="s">
        <v>151</v>
      </c>
      <c r="N60" s="106" t="s">
        <v>151</v>
      </c>
      <c r="O60" s="106" t="s">
        <v>151</v>
      </c>
      <c r="P60" s="107" t="s">
        <v>151</v>
      </c>
      <c r="Q60" s="114" t="s">
        <v>368</v>
      </c>
      <c r="R60" s="69"/>
      <c r="S60" s="69"/>
      <c r="T60" s="69"/>
    </row>
    <row r="61" customFormat="false" ht="20.25" hidden="false" customHeight="true" outlineLevel="0" collapsed="false">
      <c r="A61" s="69"/>
      <c r="B61" s="101" t="s">
        <v>430</v>
      </c>
      <c r="C61" s="102" t="s">
        <v>151</v>
      </c>
      <c r="D61" s="105" t="s">
        <v>151</v>
      </c>
      <c r="E61" s="105" t="s">
        <v>151</v>
      </c>
      <c r="F61" s="105" t="s">
        <v>151</v>
      </c>
      <c r="G61" s="105" t="s">
        <v>151</v>
      </c>
      <c r="H61" s="106" t="s">
        <v>151</v>
      </c>
      <c r="I61" s="106" t="s">
        <v>151</v>
      </c>
      <c r="J61" s="106" t="s">
        <v>151</v>
      </c>
      <c r="K61" s="106" t="s">
        <v>151</v>
      </c>
      <c r="L61" s="106" t="s">
        <v>151</v>
      </c>
      <c r="M61" s="106" t="s">
        <v>151</v>
      </c>
      <c r="N61" s="106" t="s">
        <v>151</v>
      </c>
      <c r="O61" s="106" t="s">
        <v>151</v>
      </c>
      <c r="P61" s="107" t="s">
        <v>151</v>
      </c>
      <c r="Q61" s="114" t="s">
        <v>368</v>
      </c>
      <c r="R61" s="69"/>
      <c r="S61" s="69"/>
      <c r="T61" s="69"/>
    </row>
    <row r="62" customFormat="false" ht="20.25" hidden="false" customHeight="true" outlineLevel="0" collapsed="false">
      <c r="A62" s="69"/>
      <c r="B62" s="101" t="s">
        <v>431</v>
      </c>
      <c r="C62" s="102" t="s">
        <v>151</v>
      </c>
      <c r="D62" s="106" t="s">
        <v>151</v>
      </c>
      <c r="E62" s="106" t="s">
        <v>151</v>
      </c>
      <c r="F62" s="106" t="s">
        <v>151</v>
      </c>
      <c r="G62" s="106" t="s">
        <v>151</v>
      </c>
      <c r="H62" s="106" t="s">
        <v>151</v>
      </c>
      <c r="I62" s="106" t="s">
        <v>151</v>
      </c>
      <c r="J62" s="106" t="s">
        <v>151</v>
      </c>
      <c r="K62" s="106" t="s">
        <v>151</v>
      </c>
      <c r="L62" s="106" t="s">
        <v>151</v>
      </c>
      <c r="M62" s="106" t="s">
        <v>151</v>
      </c>
      <c r="N62" s="106" t="s">
        <v>151</v>
      </c>
      <c r="O62" s="106" t="s">
        <v>151</v>
      </c>
      <c r="P62" s="107" t="s">
        <v>151</v>
      </c>
      <c r="Q62" s="114" t="s">
        <v>368</v>
      </c>
      <c r="R62" s="69"/>
      <c r="S62" s="69"/>
      <c r="T62" s="69"/>
    </row>
    <row r="63" customFormat="false" ht="20.25" hidden="false" customHeight="true" outlineLevel="0" collapsed="false">
      <c r="A63" s="69"/>
      <c r="B63" s="101" t="s">
        <v>432</v>
      </c>
      <c r="C63" s="102" t="s">
        <v>151</v>
      </c>
      <c r="D63" s="106" t="s">
        <v>151</v>
      </c>
      <c r="E63" s="106" t="s">
        <v>151</v>
      </c>
      <c r="F63" s="106" t="s">
        <v>151</v>
      </c>
      <c r="G63" s="106" t="s">
        <v>151</v>
      </c>
      <c r="H63" s="106" t="s">
        <v>151</v>
      </c>
      <c r="I63" s="106" t="s">
        <v>151</v>
      </c>
      <c r="J63" s="106" t="s">
        <v>151</v>
      </c>
      <c r="K63" s="106" t="s">
        <v>151</v>
      </c>
      <c r="L63" s="106" t="s">
        <v>151</v>
      </c>
      <c r="M63" s="106" t="s">
        <v>151</v>
      </c>
      <c r="N63" s="106" t="s">
        <v>151</v>
      </c>
      <c r="O63" s="106" t="s">
        <v>151</v>
      </c>
      <c r="P63" s="107" t="s">
        <v>151</v>
      </c>
      <c r="Q63" s="114" t="s">
        <v>368</v>
      </c>
      <c r="R63" s="69"/>
      <c r="S63" s="69"/>
      <c r="T63" s="69"/>
    </row>
    <row r="64" customFormat="false" ht="30.75" hidden="false" customHeight="true" outlineLevel="0" collapsed="false">
      <c r="A64" s="69"/>
      <c r="B64" s="128" t="s">
        <v>433</v>
      </c>
      <c r="C64" s="102" t="s">
        <v>151</v>
      </c>
      <c r="D64" s="107" t="n">
        <v>352.07</v>
      </c>
      <c r="E64" s="107" t="s">
        <v>368</v>
      </c>
      <c r="F64" s="107" t="n">
        <v>566.83</v>
      </c>
      <c r="G64" s="107" t="s">
        <v>434</v>
      </c>
      <c r="H64" s="107" t="s">
        <v>377</v>
      </c>
      <c r="I64" s="107" t="s">
        <v>377</v>
      </c>
      <c r="J64" s="107" t="s">
        <v>377</v>
      </c>
      <c r="K64" s="107" t="s">
        <v>378</v>
      </c>
      <c r="L64" s="107" t="s">
        <v>378</v>
      </c>
      <c r="M64" s="107" t="s">
        <v>378</v>
      </c>
      <c r="N64" s="107" t="s">
        <v>378</v>
      </c>
      <c r="O64" s="107" t="s">
        <v>378</v>
      </c>
      <c r="P64" s="107" t="s">
        <v>378</v>
      </c>
      <c r="Q64" s="114" t="n">
        <v>918.9</v>
      </c>
      <c r="R64" s="69"/>
      <c r="S64" s="69"/>
      <c r="T64" s="69"/>
    </row>
    <row r="65" customFormat="false" ht="15" hidden="false" customHeight="false" outlineLevel="0" collapsed="false">
      <c r="A65" s="69"/>
      <c r="B65" s="101" t="s">
        <v>151</v>
      </c>
      <c r="C65" s="102" t="s">
        <v>151</v>
      </c>
      <c r="D65" s="106" t="s">
        <v>151</v>
      </c>
      <c r="E65" s="106" t="s">
        <v>151</v>
      </c>
      <c r="F65" s="106" t="s">
        <v>151</v>
      </c>
      <c r="G65" s="106" t="s">
        <v>151</v>
      </c>
      <c r="H65" s="106" t="s">
        <v>151</v>
      </c>
      <c r="I65" s="106" t="s">
        <v>151</v>
      </c>
      <c r="J65" s="106" t="s">
        <v>151</v>
      </c>
      <c r="K65" s="106" t="s">
        <v>151</v>
      </c>
      <c r="L65" s="106" t="s">
        <v>151</v>
      </c>
      <c r="M65" s="106" t="s">
        <v>151</v>
      </c>
      <c r="N65" s="106" t="s">
        <v>151</v>
      </c>
      <c r="O65" s="106" t="s">
        <v>151</v>
      </c>
      <c r="P65" s="107" t="s">
        <v>151</v>
      </c>
      <c r="Q65" s="114" t="s">
        <v>151</v>
      </c>
      <c r="R65" s="69"/>
      <c r="S65" s="69"/>
      <c r="T65" s="69"/>
    </row>
    <row r="66" customFormat="false" ht="20.25" hidden="false" customHeight="true" outlineLevel="0" collapsed="false">
      <c r="A66" s="69"/>
      <c r="B66" s="101" t="s">
        <v>373</v>
      </c>
      <c r="C66" s="102" t="s">
        <v>151</v>
      </c>
      <c r="D66" s="105" t="s">
        <v>151</v>
      </c>
      <c r="E66" s="105" t="s">
        <v>151</v>
      </c>
      <c r="F66" s="105" t="s">
        <v>151</v>
      </c>
      <c r="G66" s="105" t="s">
        <v>151</v>
      </c>
      <c r="H66" s="106" t="s">
        <v>151</v>
      </c>
      <c r="I66" s="106" t="s">
        <v>151</v>
      </c>
      <c r="J66" s="106" t="s">
        <v>151</v>
      </c>
      <c r="K66" s="106" t="s">
        <v>151</v>
      </c>
      <c r="L66" s="106" t="s">
        <v>151</v>
      </c>
      <c r="M66" s="106" t="s">
        <v>151</v>
      </c>
      <c r="N66" s="106" t="s">
        <v>151</v>
      </c>
      <c r="O66" s="106" t="s">
        <v>151</v>
      </c>
      <c r="P66" s="107" t="s">
        <v>151</v>
      </c>
      <c r="Q66" s="114" t="s">
        <v>368</v>
      </c>
      <c r="R66" s="69"/>
      <c r="S66" s="69"/>
      <c r="T66" s="69"/>
    </row>
    <row r="67" customFormat="false" ht="20.25" hidden="false" customHeight="true" outlineLevel="0" collapsed="false">
      <c r="A67" s="69"/>
      <c r="B67" s="101" t="s">
        <v>435</v>
      </c>
      <c r="C67" s="102" t="s">
        <v>151</v>
      </c>
      <c r="D67" s="105" t="s">
        <v>151</v>
      </c>
      <c r="E67" s="105" t="s">
        <v>151</v>
      </c>
      <c r="F67" s="105" t="s">
        <v>151</v>
      </c>
      <c r="G67" s="105" t="s">
        <v>151</v>
      </c>
      <c r="H67" s="106" t="s">
        <v>151</v>
      </c>
      <c r="I67" s="106" t="s">
        <v>151</v>
      </c>
      <c r="J67" s="106" t="s">
        <v>151</v>
      </c>
      <c r="K67" s="106" t="s">
        <v>151</v>
      </c>
      <c r="L67" s="106" t="s">
        <v>151</v>
      </c>
      <c r="M67" s="106" t="s">
        <v>151</v>
      </c>
      <c r="N67" s="106" t="s">
        <v>151</v>
      </c>
      <c r="O67" s="106" t="s">
        <v>151</v>
      </c>
      <c r="P67" s="107" t="s">
        <v>151</v>
      </c>
      <c r="Q67" s="114" t="s">
        <v>368</v>
      </c>
      <c r="R67" s="69"/>
      <c r="S67" s="69"/>
      <c r="T67" s="69"/>
    </row>
    <row r="68" customFormat="false" ht="20.25" hidden="false" customHeight="true" outlineLevel="0" collapsed="false">
      <c r="A68" s="69"/>
      <c r="B68" s="101" t="s">
        <v>436</v>
      </c>
      <c r="C68" s="102" t="s">
        <v>151</v>
      </c>
      <c r="D68" s="105" t="s">
        <v>151</v>
      </c>
      <c r="E68" s="105" t="s">
        <v>151</v>
      </c>
      <c r="F68" s="105" t="s">
        <v>151</v>
      </c>
      <c r="G68" s="105" t="s">
        <v>151</v>
      </c>
      <c r="H68" s="106" t="s">
        <v>151</v>
      </c>
      <c r="I68" s="106" t="s">
        <v>151</v>
      </c>
      <c r="J68" s="106" t="s">
        <v>151</v>
      </c>
      <c r="K68" s="106" t="s">
        <v>151</v>
      </c>
      <c r="L68" s="106" t="s">
        <v>151</v>
      </c>
      <c r="M68" s="106" t="s">
        <v>151</v>
      </c>
      <c r="N68" s="106" t="s">
        <v>151</v>
      </c>
      <c r="O68" s="106" t="s">
        <v>151</v>
      </c>
      <c r="P68" s="107" t="s">
        <v>151</v>
      </c>
      <c r="Q68" s="114" t="s">
        <v>368</v>
      </c>
      <c r="R68" s="69"/>
      <c r="S68" s="69"/>
      <c r="T68" s="69"/>
    </row>
    <row r="69" customFormat="false" ht="20.25" hidden="false" customHeight="true" outlineLevel="0" collapsed="false">
      <c r="A69" s="69"/>
      <c r="B69" s="101" t="s">
        <v>437</v>
      </c>
      <c r="C69" s="102" t="s">
        <v>151</v>
      </c>
      <c r="D69" s="105" t="s">
        <v>151</v>
      </c>
      <c r="E69" s="104" t="n">
        <v>81.52</v>
      </c>
      <c r="F69" s="105" t="s">
        <v>151</v>
      </c>
      <c r="G69" s="105" t="s">
        <v>151</v>
      </c>
      <c r="H69" s="101" t="s">
        <v>151</v>
      </c>
      <c r="I69" s="101" t="s">
        <v>151</v>
      </c>
      <c r="J69" s="101" t="s">
        <v>151</v>
      </c>
      <c r="K69" s="101" t="s">
        <v>151</v>
      </c>
      <c r="L69" s="101" t="s">
        <v>151</v>
      </c>
      <c r="M69" s="101" t="s">
        <v>151</v>
      </c>
      <c r="N69" s="101" t="s">
        <v>151</v>
      </c>
      <c r="O69" s="101" t="s">
        <v>151</v>
      </c>
      <c r="P69" s="124" t="s">
        <v>151</v>
      </c>
      <c r="Q69" s="114" t="n">
        <v>81.52</v>
      </c>
      <c r="R69" s="69"/>
      <c r="S69" s="69"/>
      <c r="T69" s="69"/>
    </row>
    <row r="70" customFormat="false" ht="20.25" hidden="false" customHeight="true" outlineLevel="0" collapsed="false">
      <c r="A70" s="69"/>
      <c r="B70" s="101" t="s">
        <v>438</v>
      </c>
      <c r="C70" s="102" t="s">
        <v>151</v>
      </c>
      <c r="D70" s="127" t="n">
        <v>2</v>
      </c>
      <c r="E70" s="103" t="n">
        <v>1</v>
      </c>
      <c r="F70" s="127" t="n">
        <v>1</v>
      </c>
      <c r="G70" s="105" t="s">
        <v>151</v>
      </c>
      <c r="H70" s="106" t="s">
        <v>151</v>
      </c>
      <c r="I70" s="106" t="s">
        <v>151</v>
      </c>
      <c r="J70" s="106" t="s">
        <v>151</v>
      </c>
      <c r="K70" s="106" t="s">
        <v>151</v>
      </c>
      <c r="L70" s="106" t="s">
        <v>151</v>
      </c>
      <c r="M70" s="106" t="s">
        <v>151</v>
      </c>
      <c r="N70" s="106" t="s">
        <v>151</v>
      </c>
      <c r="O70" s="106" t="s">
        <v>151</v>
      </c>
      <c r="P70" s="107" t="s">
        <v>151</v>
      </c>
      <c r="Q70" s="114" t="n">
        <v>4</v>
      </c>
      <c r="R70" s="69"/>
      <c r="S70" s="69"/>
      <c r="T70" s="69"/>
    </row>
    <row r="71" customFormat="false" ht="30.75" hidden="false" customHeight="true" outlineLevel="0" collapsed="false">
      <c r="A71" s="69"/>
      <c r="B71" s="128" t="s">
        <v>439</v>
      </c>
      <c r="C71" s="102" t="s">
        <v>151</v>
      </c>
      <c r="D71" s="107" t="n">
        <v>2</v>
      </c>
      <c r="E71" s="107" t="n">
        <v>82.52</v>
      </c>
      <c r="F71" s="107" t="n">
        <v>1</v>
      </c>
      <c r="G71" s="107" t="s">
        <v>434</v>
      </c>
      <c r="H71" s="107" t="s">
        <v>151</v>
      </c>
      <c r="I71" s="107" t="s">
        <v>377</v>
      </c>
      <c r="J71" s="107" t="s">
        <v>377</v>
      </c>
      <c r="K71" s="107" t="s">
        <v>378</v>
      </c>
      <c r="L71" s="107" t="s">
        <v>378</v>
      </c>
      <c r="M71" s="107" t="s">
        <v>378</v>
      </c>
      <c r="N71" s="107" t="s">
        <v>378</v>
      </c>
      <c r="O71" s="107" t="s">
        <v>378</v>
      </c>
      <c r="P71" s="107" t="s">
        <v>378</v>
      </c>
      <c r="Q71" s="114" t="n">
        <v>85.52</v>
      </c>
      <c r="R71" s="69"/>
      <c r="S71" s="69"/>
      <c r="T71" s="69"/>
    </row>
    <row r="72" customFormat="false" ht="15" hidden="false" customHeight="false" outlineLevel="0" collapsed="false">
      <c r="A72" s="69"/>
      <c r="B72" s="129" t="s">
        <v>151</v>
      </c>
      <c r="C72" s="102" t="s">
        <v>151</v>
      </c>
      <c r="D72" s="106" t="s">
        <v>151</v>
      </c>
      <c r="E72" s="106" t="s">
        <v>151</v>
      </c>
      <c r="F72" s="106" t="s">
        <v>151</v>
      </c>
      <c r="G72" s="106" t="s">
        <v>151</v>
      </c>
      <c r="H72" s="106" t="s">
        <v>151</v>
      </c>
      <c r="I72" s="106" t="s">
        <v>151</v>
      </c>
      <c r="J72" s="106" t="s">
        <v>151</v>
      </c>
      <c r="K72" s="106" t="s">
        <v>151</v>
      </c>
      <c r="L72" s="106" t="s">
        <v>151</v>
      </c>
      <c r="M72" s="106" t="s">
        <v>151</v>
      </c>
      <c r="N72" s="106" t="s">
        <v>151</v>
      </c>
      <c r="O72" s="106" t="s">
        <v>151</v>
      </c>
      <c r="P72" s="107" t="s">
        <v>151</v>
      </c>
      <c r="Q72" s="114" t="s">
        <v>151</v>
      </c>
      <c r="R72" s="69"/>
      <c r="S72" s="69"/>
      <c r="T72" s="69"/>
    </row>
    <row r="73" customFormat="false" ht="20.25" hidden="false" customHeight="true" outlineLevel="0" collapsed="false">
      <c r="A73" s="69"/>
      <c r="B73" s="101" t="s">
        <v>262</v>
      </c>
      <c r="C73" s="102" t="s">
        <v>151</v>
      </c>
      <c r="D73" s="106" t="s">
        <v>151</v>
      </c>
      <c r="E73" s="106" t="s">
        <v>151</v>
      </c>
      <c r="F73" s="106" t="s">
        <v>151</v>
      </c>
      <c r="G73" s="106" t="s">
        <v>151</v>
      </c>
      <c r="H73" s="106" t="s">
        <v>151</v>
      </c>
      <c r="I73" s="106" t="s">
        <v>151</v>
      </c>
      <c r="J73" s="106" t="s">
        <v>151</v>
      </c>
      <c r="K73" s="106" t="s">
        <v>151</v>
      </c>
      <c r="L73" s="106" t="s">
        <v>151</v>
      </c>
      <c r="M73" s="106" t="s">
        <v>151</v>
      </c>
      <c r="N73" s="106" t="s">
        <v>151</v>
      </c>
      <c r="O73" s="106" t="s">
        <v>151</v>
      </c>
      <c r="P73" s="107" t="s">
        <v>151</v>
      </c>
      <c r="Q73" s="114" t="s">
        <v>368</v>
      </c>
      <c r="R73" s="69"/>
      <c r="S73" s="69"/>
      <c r="T73" s="69"/>
    </row>
    <row r="74" customFormat="false" ht="20.25" hidden="false" customHeight="true" outlineLevel="0" collapsed="false">
      <c r="A74" s="69"/>
      <c r="B74" s="101" t="s">
        <v>440</v>
      </c>
      <c r="C74" s="102" t="s">
        <v>151</v>
      </c>
      <c r="D74" s="106" t="s">
        <v>151</v>
      </c>
      <c r="E74" s="106" t="s">
        <v>151</v>
      </c>
      <c r="F74" s="106" t="s">
        <v>151</v>
      </c>
      <c r="G74" s="106" t="s">
        <v>151</v>
      </c>
      <c r="H74" s="106" t="s">
        <v>151</v>
      </c>
      <c r="I74" s="106" t="s">
        <v>151</v>
      </c>
      <c r="J74" s="106" t="s">
        <v>151</v>
      </c>
      <c r="K74" s="106" t="s">
        <v>151</v>
      </c>
      <c r="L74" s="106" t="s">
        <v>151</v>
      </c>
      <c r="M74" s="106" t="s">
        <v>151</v>
      </c>
      <c r="N74" s="106" t="s">
        <v>151</v>
      </c>
      <c r="O74" s="106" t="s">
        <v>151</v>
      </c>
      <c r="P74" s="107" t="s">
        <v>151</v>
      </c>
      <c r="Q74" s="114" t="s">
        <v>368</v>
      </c>
      <c r="R74" s="69"/>
      <c r="S74" s="69"/>
      <c r="T74" s="69"/>
    </row>
    <row r="75" customFormat="false" ht="20.25" hidden="false" customHeight="true" outlineLevel="0" collapsed="false">
      <c r="A75" s="69"/>
      <c r="B75" s="101" t="s">
        <v>441</v>
      </c>
      <c r="C75" s="102" t="s">
        <v>151</v>
      </c>
      <c r="D75" s="106" t="s">
        <v>151</v>
      </c>
      <c r="E75" s="106" t="s">
        <v>151</v>
      </c>
      <c r="F75" s="106" t="s">
        <v>151</v>
      </c>
      <c r="G75" s="106" t="s">
        <v>151</v>
      </c>
      <c r="H75" s="106" t="s">
        <v>151</v>
      </c>
      <c r="I75" s="106" t="s">
        <v>151</v>
      </c>
      <c r="J75" s="106" t="s">
        <v>151</v>
      </c>
      <c r="K75" s="106" t="s">
        <v>151</v>
      </c>
      <c r="L75" s="106" t="s">
        <v>151</v>
      </c>
      <c r="M75" s="106" t="s">
        <v>151</v>
      </c>
      <c r="N75" s="106" t="s">
        <v>151</v>
      </c>
      <c r="O75" s="106" t="s">
        <v>151</v>
      </c>
      <c r="P75" s="107" t="s">
        <v>151</v>
      </c>
      <c r="Q75" s="114" t="s">
        <v>368</v>
      </c>
      <c r="R75" s="69"/>
      <c r="S75" s="69"/>
      <c r="T75" s="69"/>
    </row>
    <row r="76" customFormat="false" ht="30.75" hidden="false" customHeight="true" outlineLevel="0" collapsed="false">
      <c r="A76" s="69"/>
      <c r="B76" s="128" t="s">
        <v>442</v>
      </c>
      <c r="C76" s="102" t="s">
        <v>151</v>
      </c>
      <c r="D76" s="107" t="s">
        <v>443</v>
      </c>
      <c r="E76" s="107" t="s">
        <v>368</v>
      </c>
      <c r="F76" s="107" t="s">
        <v>378</v>
      </c>
      <c r="G76" s="107" t="s">
        <v>434</v>
      </c>
      <c r="H76" s="107" t="s">
        <v>377</v>
      </c>
      <c r="I76" s="107" t="s">
        <v>377</v>
      </c>
      <c r="J76" s="107" t="s">
        <v>377</v>
      </c>
      <c r="K76" s="107" t="s">
        <v>378</v>
      </c>
      <c r="L76" s="107" t="s">
        <v>378</v>
      </c>
      <c r="M76" s="107" t="s">
        <v>378</v>
      </c>
      <c r="N76" s="107" t="s">
        <v>378</v>
      </c>
      <c r="O76" s="107" t="s">
        <v>378</v>
      </c>
      <c r="P76" s="107" t="s">
        <v>378</v>
      </c>
      <c r="Q76" s="114" t="s">
        <v>368</v>
      </c>
      <c r="R76" s="69"/>
      <c r="S76" s="69"/>
      <c r="T76" s="69"/>
    </row>
    <row r="77" customFormat="false" ht="15" hidden="false" customHeight="false" outlineLevel="0" collapsed="false">
      <c r="A77" s="69"/>
      <c r="B77" s="102" t="s">
        <v>151</v>
      </c>
      <c r="C77" s="102" t="s">
        <v>151</v>
      </c>
      <c r="D77" s="102" t="s">
        <v>151</v>
      </c>
      <c r="E77" s="102" t="s">
        <v>151</v>
      </c>
      <c r="F77" s="102" t="s">
        <v>151</v>
      </c>
      <c r="G77" s="102" t="s">
        <v>151</v>
      </c>
      <c r="H77" s="102" t="s">
        <v>151</v>
      </c>
      <c r="I77" s="102" t="s">
        <v>151</v>
      </c>
      <c r="J77" s="102" t="s">
        <v>151</v>
      </c>
      <c r="K77" s="102" t="s">
        <v>151</v>
      </c>
      <c r="L77" s="102" t="s">
        <v>151</v>
      </c>
      <c r="M77" s="102" t="s">
        <v>151</v>
      </c>
      <c r="N77" s="102" t="s">
        <v>151</v>
      </c>
      <c r="O77" s="102" t="s">
        <v>151</v>
      </c>
      <c r="P77" s="102" t="s">
        <v>151</v>
      </c>
      <c r="Q77" s="130" t="s">
        <v>151</v>
      </c>
      <c r="R77" s="69"/>
      <c r="S77" s="69"/>
      <c r="T77" s="69"/>
    </row>
    <row r="78" customFormat="false" ht="20.25" hidden="false" customHeight="true" outlineLevel="0" collapsed="false">
      <c r="A78" s="69"/>
      <c r="B78" s="128" t="s">
        <v>444</v>
      </c>
      <c r="C78" s="102" t="s">
        <v>151</v>
      </c>
      <c r="D78" s="131" t="n">
        <v>3085.78</v>
      </c>
      <c r="E78" s="131" t="n">
        <v>4492.3</v>
      </c>
      <c r="F78" s="131" t="n">
        <v>2308.09</v>
      </c>
      <c r="G78" s="131" t="n">
        <v>5759.37</v>
      </c>
      <c r="H78" s="132" t="s">
        <v>377</v>
      </c>
      <c r="I78" s="132" t="s">
        <v>377</v>
      </c>
      <c r="J78" s="132" t="s">
        <v>377</v>
      </c>
      <c r="K78" s="132" t="s">
        <v>378</v>
      </c>
      <c r="L78" s="132" t="s">
        <v>378</v>
      </c>
      <c r="M78" s="132" t="s">
        <v>378</v>
      </c>
      <c r="N78" s="132" t="s">
        <v>378</v>
      </c>
      <c r="O78" s="132" t="s">
        <v>378</v>
      </c>
      <c r="P78" s="132" t="s">
        <v>378</v>
      </c>
      <c r="Q78" s="131" t="n">
        <v>15645.54</v>
      </c>
      <c r="R78" s="69"/>
      <c r="S78" s="69"/>
      <c r="T78" s="69"/>
    </row>
    <row r="79" customFormat="false" ht="20.25" hidden="false" customHeight="true" outlineLevel="0" collapsed="false">
      <c r="A79" s="69"/>
      <c r="B79" s="128" t="s">
        <v>445</v>
      </c>
      <c r="C79" s="102" t="s">
        <v>151</v>
      </c>
      <c r="D79" s="131" t="n">
        <v>1946.15</v>
      </c>
      <c r="E79" s="131" t="n">
        <v>-4492.3</v>
      </c>
      <c r="F79" s="131" t="n">
        <v>24818.95</v>
      </c>
      <c r="G79" s="131" t="n">
        <v>-4640.07</v>
      </c>
      <c r="H79" s="132" t="s">
        <v>377</v>
      </c>
      <c r="I79" s="132" t="s">
        <v>377</v>
      </c>
      <c r="J79" s="132" t="s">
        <v>377</v>
      </c>
      <c r="K79" s="132" t="s">
        <v>378</v>
      </c>
      <c r="L79" s="132" t="s">
        <v>378</v>
      </c>
      <c r="M79" s="132" t="s">
        <v>378</v>
      </c>
      <c r="N79" s="132" t="s">
        <v>378</v>
      </c>
      <c r="O79" s="132" t="s">
        <v>378</v>
      </c>
      <c r="P79" s="131" t="n">
        <v>64156.8</v>
      </c>
      <c r="Q79" s="133" t="n">
        <v>81789.53</v>
      </c>
      <c r="R79" s="69"/>
      <c r="S79" s="69"/>
      <c r="T79" s="69"/>
    </row>
    <row r="80" customFormat="false" ht="15" hidden="false" customHeight="false" outlineLevel="0" collapsed="false">
      <c r="A80" s="69"/>
      <c r="B80" s="102" t="s">
        <v>151</v>
      </c>
      <c r="C80" s="102" t="s">
        <v>151</v>
      </c>
      <c r="D80" s="102" t="s">
        <v>151</v>
      </c>
      <c r="E80" s="102" t="s">
        <v>151</v>
      </c>
      <c r="F80" s="102" t="s">
        <v>151</v>
      </c>
      <c r="G80" s="102" t="s">
        <v>151</v>
      </c>
      <c r="H80" s="102" t="s">
        <v>151</v>
      </c>
      <c r="I80" s="102" t="s">
        <v>151</v>
      </c>
      <c r="J80" s="102" t="s">
        <v>151</v>
      </c>
      <c r="K80" s="102" t="s">
        <v>151</v>
      </c>
      <c r="L80" s="102" t="s">
        <v>151</v>
      </c>
      <c r="M80" s="102" t="s">
        <v>151</v>
      </c>
      <c r="N80" s="102" t="s">
        <v>151</v>
      </c>
      <c r="O80" s="102" t="s">
        <v>151</v>
      </c>
      <c r="P80" s="102" t="s">
        <v>151</v>
      </c>
      <c r="Q80" s="130" t="s">
        <v>151</v>
      </c>
      <c r="R80" s="69"/>
      <c r="S80" s="69"/>
      <c r="T80" s="69"/>
    </row>
    <row r="81" customFormat="false" ht="15" hidden="false" customHeight="false" outlineLevel="0" collapsed="false">
      <c r="A81" s="69"/>
      <c r="B81" s="101" t="s">
        <v>446</v>
      </c>
      <c r="C81" s="102" t="s">
        <v>151</v>
      </c>
      <c r="D81" s="105" t="s">
        <v>151</v>
      </c>
      <c r="E81" s="110" t="n">
        <v>15529.06</v>
      </c>
      <c r="F81" s="110" t="n">
        <v>2546.34</v>
      </c>
      <c r="G81" s="110" t="n">
        <v>10145.3</v>
      </c>
      <c r="H81" s="106" t="s">
        <v>151</v>
      </c>
      <c r="I81" s="106" t="s">
        <v>151</v>
      </c>
      <c r="J81" s="106" t="s">
        <v>151</v>
      </c>
      <c r="K81" s="106" t="s">
        <v>151</v>
      </c>
      <c r="L81" s="106" t="s">
        <v>151</v>
      </c>
      <c r="M81" s="106" t="s">
        <v>151</v>
      </c>
      <c r="N81" s="106" t="s">
        <v>151</v>
      </c>
      <c r="O81" s="106" t="s">
        <v>151</v>
      </c>
      <c r="P81" s="107" t="s">
        <v>151</v>
      </c>
      <c r="Q81" s="117" t="n">
        <v>28220.7</v>
      </c>
      <c r="R81" s="134"/>
      <c r="S81" s="69"/>
      <c r="T81" s="69"/>
    </row>
    <row r="82" customFormat="false" ht="20.25" hidden="false" customHeight="true" outlineLevel="0" collapsed="false">
      <c r="A82" s="69"/>
      <c r="B82" s="101" t="s">
        <v>447</v>
      </c>
      <c r="C82" s="102" t="s">
        <v>151</v>
      </c>
      <c r="D82" s="105" t="s">
        <v>151</v>
      </c>
      <c r="E82" s="105" t="s">
        <v>151</v>
      </c>
      <c r="F82" s="105" t="s">
        <v>151</v>
      </c>
      <c r="G82" s="105" t="s">
        <v>151</v>
      </c>
      <c r="H82" s="106" t="s">
        <v>151</v>
      </c>
      <c r="I82" s="106" t="s">
        <v>151</v>
      </c>
      <c r="J82" s="106" t="s">
        <v>151</v>
      </c>
      <c r="K82" s="106" t="s">
        <v>151</v>
      </c>
      <c r="L82" s="106" t="s">
        <v>151</v>
      </c>
      <c r="M82" s="106" t="s">
        <v>151</v>
      </c>
      <c r="N82" s="106" t="s">
        <v>151</v>
      </c>
      <c r="O82" s="106" t="s">
        <v>151</v>
      </c>
      <c r="P82" s="107" t="s">
        <v>151</v>
      </c>
      <c r="Q82" s="114" t="s">
        <v>368</v>
      </c>
      <c r="R82" s="134"/>
      <c r="S82" s="69"/>
      <c r="T82" s="69"/>
    </row>
    <row r="83" customFormat="false" ht="20.25" hidden="false" customHeight="true" outlineLevel="0" collapsed="false">
      <c r="A83" s="69"/>
      <c r="B83" s="101" t="s">
        <v>448</v>
      </c>
      <c r="C83" s="102" t="s">
        <v>151</v>
      </c>
      <c r="D83" s="105" t="s">
        <v>151</v>
      </c>
      <c r="E83" s="105" t="s">
        <v>151</v>
      </c>
      <c r="F83" s="105" t="s">
        <v>151</v>
      </c>
      <c r="G83" s="105" t="s">
        <v>151</v>
      </c>
      <c r="H83" s="106" t="s">
        <v>151</v>
      </c>
      <c r="I83" s="106" t="s">
        <v>151</v>
      </c>
      <c r="J83" s="106" t="s">
        <v>151</v>
      </c>
      <c r="K83" s="106" t="s">
        <v>151</v>
      </c>
      <c r="L83" s="106" t="s">
        <v>151</v>
      </c>
      <c r="M83" s="106" t="s">
        <v>151</v>
      </c>
      <c r="N83" s="106" t="s">
        <v>151</v>
      </c>
      <c r="O83" s="106" t="s">
        <v>151</v>
      </c>
      <c r="P83" s="107" t="s">
        <v>151</v>
      </c>
      <c r="Q83" s="114" t="s">
        <v>368</v>
      </c>
      <c r="R83" s="134"/>
      <c r="S83" s="69"/>
      <c r="T83" s="69"/>
    </row>
    <row r="84" customFormat="false" ht="20.25" hidden="false" customHeight="true" outlineLevel="0" collapsed="false">
      <c r="A84" s="69"/>
      <c r="B84" s="101" t="s">
        <v>449</v>
      </c>
      <c r="C84" s="102" t="s">
        <v>151</v>
      </c>
      <c r="D84" s="105" t="s">
        <v>151</v>
      </c>
      <c r="E84" s="110" t="n">
        <v>1600.28</v>
      </c>
      <c r="F84" s="110" t="n">
        <v>1600.28</v>
      </c>
      <c r="G84" s="110" t="n">
        <v>3200.55</v>
      </c>
      <c r="H84" s="106" t="s">
        <v>151</v>
      </c>
      <c r="I84" s="106" t="s">
        <v>151</v>
      </c>
      <c r="J84" s="106" t="s">
        <v>151</v>
      </c>
      <c r="K84" s="106" t="s">
        <v>151</v>
      </c>
      <c r="L84" s="106" t="s">
        <v>151</v>
      </c>
      <c r="M84" s="106" t="s">
        <v>151</v>
      </c>
      <c r="N84" s="106" t="s">
        <v>151</v>
      </c>
      <c r="O84" s="106" t="s">
        <v>151</v>
      </c>
      <c r="P84" s="107" t="s">
        <v>151</v>
      </c>
      <c r="Q84" s="109" t="n">
        <v>6401.11</v>
      </c>
      <c r="R84" s="134"/>
      <c r="S84" s="69"/>
      <c r="T84" s="69"/>
    </row>
    <row r="85" customFormat="false" ht="20.25" hidden="false" customHeight="true" outlineLevel="0" collapsed="false">
      <c r="A85" s="69"/>
      <c r="B85" s="101" t="s">
        <v>450</v>
      </c>
      <c r="C85" s="102" t="s">
        <v>151</v>
      </c>
      <c r="D85" s="105" t="s">
        <v>151</v>
      </c>
      <c r="E85" s="103" t="s">
        <v>151</v>
      </c>
      <c r="F85" s="105" t="n">
        <v>700</v>
      </c>
      <c r="G85" s="105" t="s">
        <v>151</v>
      </c>
      <c r="H85" s="101" t="s">
        <v>151</v>
      </c>
      <c r="I85" s="101" t="s">
        <v>151</v>
      </c>
      <c r="J85" s="101" t="s">
        <v>151</v>
      </c>
      <c r="K85" s="101" t="s">
        <v>151</v>
      </c>
      <c r="L85" s="101" t="s">
        <v>151</v>
      </c>
      <c r="M85" s="101" t="s">
        <v>151</v>
      </c>
      <c r="N85" s="101" t="s">
        <v>151</v>
      </c>
      <c r="O85" s="101" t="s">
        <v>151</v>
      </c>
      <c r="P85" s="124" t="s">
        <v>151</v>
      </c>
      <c r="Q85" s="114" t="n">
        <v>700</v>
      </c>
      <c r="R85" s="134"/>
      <c r="S85" s="69"/>
      <c r="T85" s="69"/>
    </row>
    <row r="86" customFormat="false" ht="20.25" hidden="false" customHeight="true" outlineLevel="0" collapsed="false">
      <c r="A86" s="69"/>
      <c r="B86" s="101" t="s">
        <v>451</v>
      </c>
      <c r="C86" s="102" t="s">
        <v>151</v>
      </c>
      <c r="D86" s="105" t="s">
        <v>151</v>
      </c>
      <c r="E86" s="105" t="s">
        <v>151</v>
      </c>
      <c r="F86" s="105" t="s">
        <v>151</v>
      </c>
      <c r="G86" s="105" t="s">
        <v>151</v>
      </c>
      <c r="H86" s="106" t="s">
        <v>151</v>
      </c>
      <c r="I86" s="106" t="s">
        <v>151</v>
      </c>
      <c r="J86" s="106" t="s">
        <v>151</v>
      </c>
      <c r="K86" s="106" t="s">
        <v>151</v>
      </c>
      <c r="L86" s="106" t="s">
        <v>151</v>
      </c>
      <c r="M86" s="106" t="s">
        <v>151</v>
      </c>
      <c r="N86" s="106" t="s">
        <v>151</v>
      </c>
      <c r="O86" s="106" t="s">
        <v>151</v>
      </c>
      <c r="P86" s="107" t="s">
        <v>151</v>
      </c>
      <c r="Q86" s="114" t="s">
        <v>368</v>
      </c>
      <c r="R86" s="134"/>
      <c r="S86" s="69"/>
      <c r="T86" s="69"/>
    </row>
    <row r="87" customFormat="false" ht="15" hidden="false" customHeight="false" outlineLevel="0" collapsed="false">
      <c r="A87" s="69"/>
      <c r="B87" s="101" t="s">
        <v>452</v>
      </c>
      <c r="C87" s="102" t="s">
        <v>151</v>
      </c>
      <c r="D87" s="127" t="n">
        <v>246</v>
      </c>
      <c r="E87" s="127" t="n">
        <v>492</v>
      </c>
      <c r="F87" s="127" t="n">
        <v>246</v>
      </c>
      <c r="G87" s="127" t="n">
        <v>246</v>
      </c>
      <c r="H87" s="106" t="s">
        <v>151</v>
      </c>
      <c r="I87" s="106" t="s">
        <v>151</v>
      </c>
      <c r="J87" s="106" t="s">
        <v>151</v>
      </c>
      <c r="K87" s="106" t="s">
        <v>151</v>
      </c>
      <c r="L87" s="106" t="s">
        <v>151</v>
      </c>
      <c r="M87" s="106" t="s">
        <v>151</v>
      </c>
      <c r="N87" s="106" t="s">
        <v>151</v>
      </c>
      <c r="O87" s="106" t="s">
        <v>151</v>
      </c>
      <c r="P87" s="107" t="s">
        <v>151</v>
      </c>
      <c r="Q87" s="109" t="n">
        <v>1230</v>
      </c>
      <c r="R87" s="134"/>
      <c r="S87" s="69"/>
      <c r="T87" s="69"/>
    </row>
    <row r="88" customFormat="false" ht="20.25" hidden="false" customHeight="true" outlineLevel="0" collapsed="false">
      <c r="A88" s="69"/>
      <c r="B88" s="128" t="s">
        <v>453</v>
      </c>
      <c r="C88" s="102" t="s">
        <v>151</v>
      </c>
      <c r="D88" s="107" t="n">
        <v>246</v>
      </c>
      <c r="E88" s="117" t="n">
        <v>17621.34</v>
      </c>
      <c r="F88" s="117" t="n">
        <v>5092.62</v>
      </c>
      <c r="G88" s="117" t="n">
        <v>13591.85</v>
      </c>
      <c r="H88" s="107" t="s">
        <v>377</v>
      </c>
      <c r="I88" s="107" t="s">
        <v>377</v>
      </c>
      <c r="J88" s="107" t="s">
        <v>377</v>
      </c>
      <c r="K88" s="107" t="s">
        <v>378</v>
      </c>
      <c r="L88" s="107" t="s">
        <v>378</v>
      </c>
      <c r="M88" s="107" t="s">
        <v>378</v>
      </c>
      <c r="N88" s="107" t="s">
        <v>378</v>
      </c>
      <c r="O88" s="107" t="s">
        <v>378</v>
      </c>
      <c r="P88" s="107" t="s">
        <v>378</v>
      </c>
      <c r="Q88" s="109" t="n">
        <v>36551.81</v>
      </c>
      <c r="R88" s="134"/>
      <c r="S88" s="69"/>
      <c r="T88" s="69"/>
    </row>
    <row r="89" customFormat="false" ht="15" hidden="false" customHeight="false" outlineLevel="0" collapsed="false">
      <c r="A89" s="69"/>
      <c r="B89" s="101" t="s">
        <v>151</v>
      </c>
      <c r="C89" s="102" t="s">
        <v>151</v>
      </c>
      <c r="D89" s="106" t="s">
        <v>151</v>
      </c>
      <c r="E89" s="106" t="s">
        <v>151</v>
      </c>
      <c r="F89" s="106" t="s">
        <v>151</v>
      </c>
      <c r="G89" s="106" t="s">
        <v>151</v>
      </c>
      <c r="H89" s="106" t="s">
        <v>151</v>
      </c>
      <c r="I89" s="106" t="s">
        <v>151</v>
      </c>
      <c r="J89" s="106" t="s">
        <v>151</v>
      </c>
      <c r="K89" s="106" t="s">
        <v>151</v>
      </c>
      <c r="L89" s="106" t="s">
        <v>151</v>
      </c>
      <c r="M89" s="106" t="s">
        <v>151</v>
      </c>
      <c r="N89" s="106" t="s">
        <v>151</v>
      </c>
      <c r="O89" s="106" t="s">
        <v>151</v>
      </c>
      <c r="P89" s="107" t="s">
        <v>151</v>
      </c>
      <c r="Q89" s="114" t="s">
        <v>151</v>
      </c>
      <c r="R89" s="134"/>
      <c r="S89" s="69"/>
      <c r="T89" s="69"/>
    </row>
    <row r="90" customFormat="false" ht="30.75" hidden="false" customHeight="true" outlineLevel="0" collapsed="false">
      <c r="A90" s="69"/>
      <c r="B90" s="101" t="s">
        <v>454</v>
      </c>
      <c r="C90" s="102" t="s">
        <v>151</v>
      </c>
      <c r="D90" s="135" t="s">
        <v>151</v>
      </c>
      <c r="E90" s="135" t="s">
        <v>151</v>
      </c>
      <c r="F90" s="135" t="s">
        <v>151</v>
      </c>
      <c r="G90" s="135" t="s">
        <v>151</v>
      </c>
      <c r="H90" s="106" t="s">
        <v>151</v>
      </c>
      <c r="I90" s="106" t="s">
        <v>151</v>
      </c>
      <c r="J90" s="106" t="s">
        <v>151</v>
      </c>
      <c r="K90" s="106" t="s">
        <v>151</v>
      </c>
      <c r="L90" s="106" t="s">
        <v>151</v>
      </c>
      <c r="M90" s="106" t="s">
        <v>151</v>
      </c>
      <c r="N90" s="106" t="s">
        <v>151</v>
      </c>
      <c r="O90" s="106" t="s">
        <v>151</v>
      </c>
      <c r="P90" s="107" t="s">
        <v>151</v>
      </c>
      <c r="Q90" s="114" t="s">
        <v>368</v>
      </c>
      <c r="R90" s="134"/>
      <c r="S90" s="69"/>
      <c r="T90" s="69"/>
    </row>
    <row r="91" customFormat="false" ht="20.25" hidden="false" customHeight="true" outlineLevel="0" collapsed="false">
      <c r="A91" s="69"/>
      <c r="B91" s="101" t="s">
        <v>455</v>
      </c>
      <c r="C91" s="102" t="s">
        <v>151</v>
      </c>
      <c r="D91" s="135" t="s">
        <v>151</v>
      </c>
      <c r="E91" s="135" t="s">
        <v>151</v>
      </c>
      <c r="F91" s="135" t="s">
        <v>151</v>
      </c>
      <c r="G91" s="135" t="s">
        <v>151</v>
      </c>
      <c r="H91" s="106" t="s">
        <v>151</v>
      </c>
      <c r="I91" s="106" t="s">
        <v>151</v>
      </c>
      <c r="J91" s="106" t="s">
        <v>151</v>
      </c>
      <c r="K91" s="106" t="s">
        <v>151</v>
      </c>
      <c r="L91" s="106" t="s">
        <v>151</v>
      </c>
      <c r="M91" s="106" t="s">
        <v>151</v>
      </c>
      <c r="N91" s="106" t="s">
        <v>151</v>
      </c>
      <c r="O91" s="106" t="s">
        <v>151</v>
      </c>
      <c r="P91" s="107" t="s">
        <v>151</v>
      </c>
      <c r="Q91" s="114" t="s">
        <v>368</v>
      </c>
      <c r="R91" s="134"/>
      <c r="S91" s="69"/>
      <c r="T91" s="69"/>
    </row>
    <row r="92" customFormat="false" ht="15" hidden="false" customHeight="false" outlineLevel="0" collapsed="false">
      <c r="A92" s="69"/>
      <c r="B92" s="101" t="s">
        <v>456</v>
      </c>
      <c r="C92" s="102" t="s">
        <v>151</v>
      </c>
      <c r="D92" s="135" t="s">
        <v>151</v>
      </c>
      <c r="E92" s="135" t="s">
        <v>151</v>
      </c>
      <c r="F92" s="135" t="s">
        <v>151</v>
      </c>
      <c r="G92" s="135" t="n">
        <v>365.27</v>
      </c>
      <c r="H92" s="106" t="s">
        <v>151</v>
      </c>
      <c r="I92" s="106" t="s">
        <v>151</v>
      </c>
      <c r="J92" s="106" t="s">
        <v>151</v>
      </c>
      <c r="K92" s="106" t="s">
        <v>151</v>
      </c>
      <c r="L92" s="106" t="s">
        <v>151</v>
      </c>
      <c r="M92" s="106" t="s">
        <v>151</v>
      </c>
      <c r="N92" s="106" t="s">
        <v>151</v>
      </c>
      <c r="O92" s="106" t="s">
        <v>151</v>
      </c>
      <c r="P92" s="107" t="s">
        <v>151</v>
      </c>
      <c r="Q92" s="114" t="n">
        <v>365.27</v>
      </c>
      <c r="R92" s="134"/>
      <c r="S92" s="69"/>
      <c r="T92" s="69"/>
    </row>
    <row r="93" customFormat="false" ht="23.25" hidden="false" customHeight="true" outlineLevel="0" collapsed="false">
      <c r="A93" s="69"/>
      <c r="B93" s="101" t="s">
        <v>457</v>
      </c>
      <c r="C93" s="102" t="s">
        <v>151</v>
      </c>
      <c r="D93" s="135" t="s">
        <v>443</v>
      </c>
      <c r="E93" s="135" t="n">
        <v>197</v>
      </c>
      <c r="F93" s="136" t="n">
        <v>137</v>
      </c>
      <c r="G93" s="137" t="n">
        <v>1780</v>
      </c>
      <c r="H93" s="101" t="s">
        <v>151</v>
      </c>
      <c r="I93" s="101" t="s">
        <v>151</v>
      </c>
      <c r="J93" s="101" t="s">
        <v>151</v>
      </c>
      <c r="K93" s="101" t="s">
        <v>151</v>
      </c>
      <c r="L93" s="101" t="s">
        <v>151</v>
      </c>
      <c r="M93" s="101" t="s">
        <v>151</v>
      </c>
      <c r="N93" s="101" t="s">
        <v>151</v>
      </c>
      <c r="O93" s="101" t="s">
        <v>151</v>
      </c>
      <c r="P93" s="124" t="s">
        <v>151</v>
      </c>
      <c r="Q93" s="109" t="n">
        <v>2114</v>
      </c>
      <c r="R93" s="134"/>
      <c r="S93" s="69"/>
      <c r="T93" s="69"/>
    </row>
    <row r="94" customFormat="false" ht="15" hidden="false" customHeight="false" outlineLevel="0" collapsed="false">
      <c r="A94" s="69"/>
      <c r="B94" s="101" t="s">
        <v>458</v>
      </c>
      <c r="C94" s="102" t="s">
        <v>151</v>
      </c>
      <c r="D94" s="137" t="n">
        <v>1038</v>
      </c>
      <c r="E94" s="135" t="s">
        <v>151</v>
      </c>
      <c r="F94" s="135" t="s">
        <v>151</v>
      </c>
      <c r="G94" s="135" t="s">
        <v>151</v>
      </c>
      <c r="H94" s="101" t="s">
        <v>151</v>
      </c>
      <c r="I94" s="101" t="s">
        <v>151</v>
      </c>
      <c r="J94" s="101" t="s">
        <v>151</v>
      </c>
      <c r="K94" s="101" t="s">
        <v>151</v>
      </c>
      <c r="L94" s="101" t="s">
        <v>151</v>
      </c>
      <c r="M94" s="101" t="s">
        <v>151</v>
      </c>
      <c r="N94" s="101" t="s">
        <v>151</v>
      </c>
      <c r="O94" s="101" t="s">
        <v>151</v>
      </c>
      <c r="P94" s="124" t="s">
        <v>151</v>
      </c>
      <c r="Q94" s="109" t="n">
        <v>1038</v>
      </c>
      <c r="R94" s="134"/>
      <c r="S94" s="69"/>
      <c r="T94" s="69"/>
    </row>
    <row r="95" customFormat="false" ht="20.25" hidden="false" customHeight="true" outlineLevel="0" collapsed="false">
      <c r="A95" s="69"/>
      <c r="B95" s="101" t="s">
        <v>44</v>
      </c>
      <c r="C95" s="102" t="s">
        <v>151</v>
      </c>
      <c r="D95" s="137" t="n">
        <v>1350</v>
      </c>
      <c r="E95" s="135" t="s">
        <v>151</v>
      </c>
      <c r="F95" s="135" t="s">
        <v>151</v>
      </c>
      <c r="G95" s="135" t="s">
        <v>151</v>
      </c>
      <c r="H95" s="101" t="s">
        <v>151</v>
      </c>
      <c r="I95" s="101" t="s">
        <v>151</v>
      </c>
      <c r="J95" s="101" t="s">
        <v>151</v>
      </c>
      <c r="K95" s="101" t="s">
        <v>151</v>
      </c>
      <c r="L95" s="101" t="s">
        <v>151</v>
      </c>
      <c r="M95" s="101" t="s">
        <v>151</v>
      </c>
      <c r="N95" s="101" t="s">
        <v>151</v>
      </c>
      <c r="O95" s="101" t="s">
        <v>151</v>
      </c>
      <c r="P95" s="124" t="s">
        <v>151</v>
      </c>
      <c r="Q95" s="109" t="n">
        <v>1350</v>
      </c>
      <c r="R95" s="134"/>
      <c r="S95" s="69"/>
      <c r="T95" s="69"/>
    </row>
    <row r="96" customFormat="false" ht="15" hidden="false" customHeight="false" outlineLevel="0" collapsed="false">
      <c r="A96" s="69"/>
      <c r="B96" s="101" t="s">
        <v>90</v>
      </c>
      <c r="C96" s="102" t="s">
        <v>151</v>
      </c>
      <c r="D96" s="138" t="s">
        <v>443</v>
      </c>
      <c r="E96" s="135" t="s">
        <v>151</v>
      </c>
      <c r="F96" s="135" t="s">
        <v>151</v>
      </c>
      <c r="G96" s="139" t="n">
        <v>3928.01</v>
      </c>
      <c r="H96" s="101" t="s">
        <v>151</v>
      </c>
      <c r="I96" s="101" t="s">
        <v>151</v>
      </c>
      <c r="J96" s="101" t="s">
        <v>151</v>
      </c>
      <c r="K96" s="101" t="s">
        <v>151</v>
      </c>
      <c r="L96" s="101" t="s">
        <v>151</v>
      </c>
      <c r="M96" s="101" t="s">
        <v>151</v>
      </c>
      <c r="N96" s="101" t="s">
        <v>151</v>
      </c>
      <c r="O96" s="101" t="s">
        <v>151</v>
      </c>
      <c r="P96" s="124" t="s">
        <v>151</v>
      </c>
      <c r="Q96" s="109" t="n">
        <v>3928.01</v>
      </c>
      <c r="R96" s="134"/>
      <c r="S96" s="69"/>
      <c r="T96" s="69"/>
    </row>
    <row r="97" customFormat="false" ht="20.25" hidden="false" customHeight="true" outlineLevel="0" collapsed="false">
      <c r="A97" s="69"/>
      <c r="B97" s="101" t="s">
        <v>459</v>
      </c>
      <c r="C97" s="102" t="s">
        <v>151</v>
      </c>
      <c r="D97" s="140" t="n">
        <v>1638.68</v>
      </c>
      <c r="E97" s="135" t="s">
        <v>151</v>
      </c>
      <c r="F97" s="135" t="s">
        <v>151</v>
      </c>
      <c r="G97" s="135" t="s">
        <v>151</v>
      </c>
      <c r="H97" s="101" t="s">
        <v>151</v>
      </c>
      <c r="I97" s="101" t="s">
        <v>151</v>
      </c>
      <c r="J97" s="101" t="s">
        <v>151</v>
      </c>
      <c r="K97" s="101" t="s">
        <v>151</v>
      </c>
      <c r="L97" s="101" t="s">
        <v>151</v>
      </c>
      <c r="M97" s="101" t="s">
        <v>151</v>
      </c>
      <c r="N97" s="101" t="s">
        <v>151</v>
      </c>
      <c r="O97" s="101" t="s">
        <v>151</v>
      </c>
      <c r="P97" s="124" t="s">
        <v>151</v>
      </c>
      <c r="Q97" s="109" t="n">
        <v>1638.68</v>
      </c>
      <c r="R97" s="134"/>
      <c r="S97" s="69"/>
      <c r="T97" s="69"/>
    </row>
    <row r="98" customFormat="false" ht="15" hidden="false" customHeight="false" outlineLevel="0" collapsed="false">
      <c r="A98" s="69"/>
      <c r="B98" s="101" t="s">
        <v>49</v>
      </c>
      <c r="C98" s="102" t="s">
        <v>151</v>
      </c>
      <c r="D98" s="136" t="n">
        <v>29.7</v>
      </c>
      <c r="E98" s="135" t="s">
        <v>151</v>
      </c>
      <c r="F98" s="135" t="s">
        <v>151</v>
      </c>
      <c r="G98" s="135" t="s">
        <v>151</v>
      </c>
      <c r="H98" s="101" t="s">
        <v>151</v>
      </c>
      <c r="I98" s="101" t="s">
        <v>151</v>
      </c>
      <c r="J98" s="101" t="s">
        <v>151</v>
      </c>
      <c r="K98" s="101" t="s">
        <v>151</v>
      </c>
      <c r="L98" s="101" t="s">
        <v>151</v>
      </c>
      <c r="M98" s="101" t="s">
        <v>151</v>
      </c>
      <c r="N98" s="101" t="s">
        <v>151</v>
      </c>
      <c r="O98" s="101" t="s">
        <v>151</v>
      </c>
      <c r="P98" s="124" t="s">
        <v>151</v>
      </c>
      <c r="Q98" s="114" t="n">
        <v>29.7</v>
      </c>
      <c r="R98" s="134"/>
      <c r="S98" s="69"/>
      <c r="T98" s="69"/>
    </row>
    <row r="99" customFormat="false" ht="20.25" hidden="false" customHeight="true" outlineLevel="0" collapsed="false">
      <c r="A99" s="69"/>
      <c r="B99" s="101" t="s">
        <v>460</v>
      </c>
      <c r="C99" s="102" t="s">
        <v>151</v>
      </c>
      <c r="D99" s="135" t="s">
        <v>151</v>
      </c>
      <c r="E99" s="135" t="s">
        <v>151</v>
      </c>
      <c r="F99" s="135" t="s">
        <v>151</v>
      </c>
      <c r="G99" s="135" t="s">
        <v>151</v>
      </c>
      <c r="H99" s="106" t="s">
        <v>151</v>
      </c>
      <c r="I99" s="106" t="s">
        <v>151</v>
      </c>
      <c r="J99" s="106" t="s">
        <v>151</v>
      </c>
      <c r="K99" s="106" t="s">
        <v>151</v>
      </c>
      <c r="L99" s="106" t="s">
        <v>151</v>
      </c>
      <c r="M99" s="106" t="s">
        <v>151</v>
      </c>
      <c r="N99" s="106" t="s">
        <v>151</v>
      </c>
      <c r="O99" s="106" t="s">
        <v>151</v>
      </c>
      <c r="P99" s="107" t="s">
        <v>151</v>
      </c>
      <c r="Q99" s="114" t="s">
        <v>368</v>
      </c>
      <c r="R99" s="134"/>
      <c r="S99" s="69"/>
      <c r="T99" s="69"/>
    </row>
    <row r="100" customFormat="false" ht="30.75" hidden="false" customHeight="true" outlineLevel="0" collapsed="false">
      <c r="A100" s="69"/>
      <c r="B100" s="128" t="s">
        <v>439</v>
      </c>
      <c r="C100" s="102" t="s">
        <v>151</v>
      </c>
      <c r="D100" s="117" t="n">
        <v>4056.38</v>
      </c>
      <c r="E100" s="107" t="n">
        <v>197</v>
      </c>
      <c r="F100" s="107" t="n">
        <v>137</v>
      </c>
      <c r="G100" s="117" t="n">
        <v>6073.28</v>
      </c>
      <c r="H100" s="107" t="s">
        <v>377</v>
      </c>
      <c r="I100" s="107" t="s">
        <v>377</v>
      </c>
      <c r="J100" s="107" t="s">
        <v>377</v>
      </c>
      <c r="K100" s="107" t="s">
        <v>378</v>
      </c>
      <c r="L100" s="107" t="s">
        <v>378</v>
      </c>
      <c r="M100" s="107" t="s">
        <v>378</v>
      </c>
      <c r="N100" s="107" t="s">
        <v>378</v>
      </c>
      <c r="O100" s="107" t="s">
        <v>378</v>
      </c>
      <c r="P100" s="107" t="s">
        <v>378</v>
      </c>
      <c r="Q100" s="118" t="n">
        <v>10463.66</v>
      </c>
      <c r="R100" s="134"/>
      <c r="S100" s="69"/>
      <c r="T100" s="69"/>
    </row>
    <row r="101" customFormat="false" ht="15" hidden="false" customHeight="false" outlineLevel="0" collapsed="false">
      <c r="A101" s="69"/>
      <c r="B101" s="101" t="s">
        <v>151</v>
      </c>
      <c r="C101" s="102" t="s">
        <v>151</v>
      </c>
      <c r="D101" s="105" t="s">
        <v>151</v>
      </c>
      <c r="E101" s="105" t="s">
        <v>151</v>
      </c>
      <c r="F101" s="105" t="s">
        <v>151</v>
      </c>
      <c r="G101" s="105" t="s">
        <v>151</v>
      </c>
      <c r="H101" s="106" t="s">
        <v>151</v>
      </c>
      <c r="I101" s="106" t="s">
        <v>151</v>
      </c>
      <c r="J101" s="106" t="s">
        <v>151</v>
      </c>
      <c r="K101" s="106" t="s">
        <v>151</v>
      </c>
      <c r="L101" s="106" t="s">
        <v>151</v>
      </c>
      <c r="M101" s="106" t="s">
        <v>151</v>
      </c>
      <c r="N101" s="106" t="s">
        <v>151</v>
      </c>
      <c r="O101" s="106" t="s">
        <v>151</v>
      </c>
      <c r="P101" s="107" t="s">
        <v>151</v>
      </c>
      <c r="Q101" s="114" t="s">
        <v>151</v>
      </c>
      <c r="R101" s="134"/>
      <c r="S101" s="69"/>
      <c r="T101" s="69"/>
    </row>
    <row r="102" customFormat="false" ht="20.25" hidden="false" customHeight="true" outlineLevel="0" collapsed="false">
      <c r="A102" s="69"/>
      <c r="B102" s="101" t="s">
        <v>461</v>
      </c>
      <c r="C102" s="102" t="s">
        <v>151</v>
      </c>
      <c r="D102" s="105" t="s">
        <v>151</v>
      </c>
      <c r="E102" s="105" t="s">
        <v>151</v>
      </c>
      <c r="F102" s="105" t="s">
        <v>151</v>
      </c>
      <c r="G102" s="105" t="s">
        <v>151</v>
      </c>
      <c r="H102" s="106" t="s">
        <v>151</v>
      </c>
      <c r="I102" s="106" t="s">
        <v>151</v>
      </c>
      <c r="J102" s="106" t="s">
        <v>151</v>
      </c>
      <c r="K102" s="106" t="s">
        <v>151</v>
      </c>
      <c r="L102" s="106" t="s">
        <v>151</v>
      </c>
      <c r="M102" s="106" t="s">
        <v>151</v>
      </c>
      <c r="N102" s="106" t="s">
        <v>151</v>
      </c>
      <c r="O102" s="106" t="s">
        <v>151</v>
      </c>
      <c r="P102" s="107" t="s">
        <v>151</v>
      </c>
      <c r="Q102" s="114" t="s">
        <v>368</v>
      </c>
      <c r="R102" s="134"/>
      <c r="S102" s="69"/>
      <c r="T102" s="69"/>
    </row>
    <row r="103" customFormat="false" ht="20.25" hidden="false" customHeight="true" outlineLevel="0" collapsed="false">
      <c r="A103" s="69"/>
      <c r="B103" s="101" t="s">
        <v>462</v>
      </c>
      <c r="C103" s="102" t="s">
        <v>151</v>
      </c>
      <c r="D103" s="105" t="s">
        <v>151</v>
      </c>
      <c r="E103" s="105" t="s">
        <v>151</v>
      </c>
      <c r="F103" s="105" t="s">
        <v>151</v>
      </c>
      <c r="G103" s="105" t="s">
        <v>151</v>
      </c>
      <c r="H103" s="106" t="s">
        <v>151</v>
      </c>
      <c r="I103" s="106" t="s">
        <v>151</v>
      </c>
      <c r="J103" s="106" t="s">
        <v>151</v>
      </c>
      <c r="K103" s="106" t="s">
        <v>151</v>
      </c>
      <c r="L103" s="106" t="s">
        <v>151</v>
      </c>
      <c r="M103" s="106" t="s">
        <v>151</v>
      </c>
      <c r="N103" s="106" t="s">
        <v>151</v>
      </c>
      <c r="O103" s="106" t="s">
        <v>151</v>
      </c>
      <c r="P103" s="107" t="s">
        <v>151</v>
      </c>
      <c r="Q103" s="114" t="s">
        <v>368</v>
      </c>
      <c r="R103" s="134"/>
      <c r="S103" s="69"/>
      <c r="T103" s="69"/>
    </row>
    <row r="104" customFormat="false" ht="20.25" hidden="false" customHeight="true" outlineLevel="0" collapsed="false">
      <c r="A104" s="69"/>
      <c r="B104" s="101" t="s">
        <v>463</v>
      </c>
      <c r="C104" s="102" t="s">
        <v>151</v>
      </c>
      <c r="D104" s="105" t="s">
        <v>151</v>
      </c>
      <c r="E104" s="105" t="s">
        <v>151</v>
      </c>
      <c r="F104" s="105" t="s">
        <v>151</v>
      </c>
      <c r="G104" s="105" t="s">
        <v>151</v>
      </c>
      <c r="H104" s="106" t="s">
        <v>151</v>
      </c>
      <c r="I104" s="106" t="s">
        <v>151</v>
      </c>
      <c r="J104" s="106" t="s">
        <v>151</v>
      </c>
      <c r="K104" s="106" t="s">
        <v>151</v>
      </c>
      <c r="L104" s="106" t="s">
        <v>151</v>
      </c>
      <c r="M104" s="106" t="s">
        <v>151</v>
      </c>
      <c r="N104" s="106" t="s">
        <v>151</v>
      </c>
      <c r="O104" s="106" t="s">
        <v>151</v>
      </c>
      <c r="P104" s="107" t="s">
        <v>151</v>
      </c>
      <c r="Q104" s="114" t="s">
        <v>368</v>
      </c>
      <c r="R104" s="134"/>
      <c r="S104" s="69"/>
      <c r="T104" s="69"/>
    </row>
    <row r="105" customFormat="false" ht="15" hidden="false" customHeight="false" outlineLevel="0" collapsed="false">
      <c r="A105" s="69"/>
      <c r="B105" s="101" t="s">
        <v>464</v>
      </c>
      <c r="C105" s="102" t="s">
        <v>151</v>
      </c>
      <c r="D105" s="105" t="s">
        <v>151</v>
      </c>
      <c r="E105" s="127" t="n">
        <v>157.8</v>
      </c>
      <c r="F105" s="105" t="s">
        <v>151</v>
      </c>
      <c r="G105" s="105" t="s">
        <v>151</v>
      </c>
      <c r="H105" s="101" t="s">
        <v>151</v>
      </c>
      <c r="I105" s="101" t="s">
        <v>151</v>
      </c>
      <c r="J105" s="101" t="s">
        <v>151</v>
      </c>
      <c r="K105" s="101" t="s">
        <v>151</v>
      </c>
      <c r="L105" s="101" t="s">
        <v>151</v>
      </c>
      <c r="M105" s="101" t="s">
        <v>151</v>
      </c>
      <c r="N105" s="101" t="s">
        <v>151</v>
      </c>
      <c r="O105" s="101" t="s">
        <v>151</v>
      </c>
      <c r="P105" s="124" t="s">
        <v>151</v>
      </c>
      <c r="Q105" s="114" t="n">
        <v>157.8</v>
      </c>
      <c r="R105" s="134"/>
      <c r="S105" s="69"/>
      <c r="T105" s="69"/>
    </row>
    <row r="106" customFormat="false" ht="15" hidden="false" customHeight="false" outlineLevel="0" collapsed="false">
      <c r="A106" s="69"/>
      <c r="B106" s="101" t="s">
        <v>45</v>
      </c>
      <c r="C106" s="102" t="s">
        <v>151</v>
      </c>
      <c r="D106" s="127" t="n">
        <v>94.5</v>
      </c>
      <c r="E106" s="105" t="s">
        <v>151</v>
      </c>
      <c r="F106" s="105" t="s">
        <v>151</v>
      </c>
      <c r="G106" s="105" t="s">
        <v>151</v>
      </c>
      <c r="H106" s="101" t="s">
        <v>151</v>
      </c>
      <c r="I106" s="101" t="s">
        <v>151</v>
      </c>
      <c r="J106" s="101" t="s">
        <v>151</v>
      </c>
      <c r="K106" s="101" t="s">
        <v>151</v>
      </c>
      <c r="L106" s="101" t="s">
        <v>151</v>
      </c>
      <c r="M106" s="101" t="s">
        <v>151</v>
      </c>
      <c r="N106" s="101" t="s">
        <v>151</v>
      </c>
      <c r="O106" s="101" t="s">
        <v>151</v>
      </c>
      <c r="P106" s="124" t="s">
        <v>151</v>
      </c>
      <c r="Q106" s="114" t="n">
        <v>94.5</v>
      </c>
      <c r="R106" s="134"/>
      <c r="S106" s="69"/>
      <c r="T106" s="69"/>
    </row>
    <row r="107" customFormat="false" ht="15" hidden="false" customHeight="false" outlineLevel="0" collapsed="false">
      <c r="A107" s="69"/>
      <c r="B107" s="101" t="s">
        <v>465</v>
      </c>
      <c r="C107" s="102" t="s">
        <v>151</v>
      </c>
      <c r="D107" s="127" t="s">
        <v>151</v>
      </c>
      <c r="E107" s="127" t="n">
        <v>149.63</v>
      </c>
      <c r="F107" s="105" t="s">
        <v>151</v>
      </c>
      <c r="G107" s="105" t="s">
        <v>151</v>
      </c>
      <c r="H107" s="106" t="s">
        <v>151</v>
      </c>
      <c r="I107" s="106" t="s">
        <v>151</v>
      </c>
      <c r="J107" s="106" t="s">
        <v>151</v>
      </c>
      <c r="K107" s="106" t="s">
        <v>151</v>
      </c>
      <c r="L107" s="106" t="s">
        <v>151</v>
      </c>
      <c r="M107" s="106" t="s">
        <v>151</v>
      </c>
      <c r="N107" s="106" t="s">
        <v>151</v>
      </c>
      <c r="O107" s="106" t="s">
        <v>151</v>
      </c>
      <c r="P107" s="107" t="s">
        <v>151</v>
      </c>
      <c r="Q107" s="114" t="n">
        <v>149.63</v>
      </c>
      <c r="R107" s="134"/>
      <c r="S107" s="69"/>
      <c r="T107" s="69"/>
    </row>
    <row r="108" customFormat="false" ht="20.25" hidden="false" customHeight="true" outlineLevel="0" collapsed="false">
      <c r="A108" s="69"/>
      <c r="B108" s="101" t="s">
        <v>466</v>
      </c>
      <c r="C108" s="102" t="s">
        <v>151</v>
      </c>
      <c r="D108" s="105" t="s">
        <v>151</v>
      </c>
      <c r="E108" s="105" t="s">
        <v>151</v>
      </c>
      <c r="F108" s="105" t="s">
        <v>151</v>
      </c>
      <c r="G108" s="105" t="s">
        <v>151</v>
      </c>
      <c r="H108" s="106" t="s">
        <v>151</v>
      </c>
      <c r="I108" s="106" t="s">
        <v>151</v>
      </c>
      <c r="J108" s="106" t="s">
        <v>151</v>
      </c>
      <c r="K108" s="106" t="s">
        <v>151</v>
      </c>
      <c r="L108" s="106" t="s">
        <v>151</v>
      </c>
      <c r="M108" s="106" t="s">
        <v>151</v>
      </c>
      <c r="N108" s="106" t="s">
        <v>151</v>
      </c>
      <c r="O108" s="106" t="s">
        <v>151</v>
      </c>
      <c r="P108" s="107" t="s">
        <v>151</v>
      </c>
      <c r="Q108" s="114" t="s">
        <v>368</v>
      </c>
      <c r="R108" s="134"/>
      <c r="S108" s="69"/>
      <c r="T108" s="69"/>
    </row>
    <row r="109" customFormat="false" ht="20.25" hidden="false" customHeight="true" outlineLevel="0" collapsed="false">
      <c r="A109" s="69"/>
      <c r="B109" s="101" t="s">
        <v>467</v>
      </c>
      <c r="C109" s="102" t="s">
        <v>151</v>
      </c>
      <c r="D109" s="106" t="s">
        <v>151</v>
      </c>
      <c r="E109" s="106" t="s">
        <v>151</v>
      </c>
      <c r="F109" s="106" t="s">
        <v>151</v>
      </c>
      <c r="G109" s="106" t="s">
        <v>151</v>
      </c>
      <c r="H109" s="106" t="s">
        <v>151</v>
      </c>
      <c r="I109" s="106" t="s">
        <v>151</v>
      </c>
      <c r="J109" s="106" t="s">
        <v>151</v>
      </c>
      <c r="K109" s="106" t="s">
        <v>151</v>
      </c>
      <c r="L109" s="106" t="s">
        <v>151</v>
      </c>
      <c r="M109" s="106" t="s">
        <v>151</v>
      </c>
      <c r="N109" s="106" t="s">
        <v>151</v>
      </c>
      <c r="O109" s="106" t="s">
        <v>151</v>
      </c>
      <c r="P109" s="107" t="s">
        <v>151</v>
      </c>
      <c r="Q109" s="114" t="s">
        <v>368</v>
      </c>
      <c r="R109" s="134"/>
      <c r="S109" s="69"/>
      <c r="T109" s="69"/>
    </row>
    <row r="110" customFormat="false" ht="20.25" hidden="false" customHeight="true" outlineLevel="0" collapsed="false">
      <c r="A110" s="69"/>
      <c r="B110" s="128" t="s">
        <v>468</v>
      </c>
      <c r="C110" s="102" t="s">
        <v>151</v>
      </c>
      <c r="D110" s="107" t="n">
        <v>94.5</v>
      </c>
      <c r="E110" s="107" t="n">
        <v>307.43</v>
      </c>
      <c r="F110" s="107" t="s">
        <v>378</v>
      </c>
      <c r="G110" s="107" t="s">
        <v>434</v>
      </c>
      <c r="H110" s="107" t="s">
        <v>377</v>
      </c>
      <c r="I110" s="107" t="s">
        <v>377</v>
      </c>
      <c r="J110" s="107" t="s">
        <v>377</v>
      </c>
      <c r="K110" s="107" t="s">
        <v>378</v>
      </c>
      <c r="L110" s="107" t="s">
        <v>378</v>
      </c>
      <c r="M110" s="107" t="s">
        <v>378</v>
      </c>
      <c r="N110" s="107" t="s">
        <v>378</v>
      </c>
      <c r="O110" s="107" t="s">
        <v>378</v>
      </c>
      <c r="P110" s="107" t="s">
        <v>378</v>
      </c>
      <c r="Q110" s="114" t="n">
        <v>401.93</v>
      </c>
      <c r="R110" s="134"/>
      <c r="S110" s="69"/>
      <c r="T110" s="69"/>
    </row>
    <row r="111" customFormat="false" ht="15" hidden="false" customHeight="false" outlineLevel="0" collapsed="false">
      <c r="A111" s="69"/>
      <c r="B111" s="101" t="s">
        <v>151</v>
      </c>
      <c r="C111" s="102" t="s">
        <v>151</v>
      </c>
      <c r="D111" s="106" t="s">
        <v>151</v>
      </c>
      <c r="E111" s="106" t="s">
        <v>151</v>
      </c>
      <c r="F111" s="106" t="s">
        <v>151</v>
      </c>
      <c r="G111" s="106" t="s">
        <v>151</v>
      </c>
      <c r="H111" s="106" t="s">
        <v>151</v>
      </c>
      <c r="I111" s="106" t="s">
        <v>151</v>
      </c>
      <c r="J111" s="106" t="s">
        <v>151</v>
      </c>
      <c r="K111" s="106" t="s">
        <v>151</v>
      </c>
      <c r="L111" s="106" t="s">
        <v>151</v>
      </c>
      <c r="M111" s="106" t="s">
        <v>151</v>
      </c>
      <c r="N111" s="106" t="s">
        <v>151</v>
      </c>
      <c r="O111" s="106" t="s">
        <v>151</v>
      </c>
      <c r="P111" s="107" t="s">
        <v>151</v>
      </c>
      <c r="Q111" s="114" t="s">
        <v>151</v>
      </c>
      <c r="R111" s="134"/>
      <c r="S111" s="69"/>
      <c r="T111" s="69"/>
    </row>
    <row r="112" customFormat="false" ht="20.25" hidden="false" customHeight="true" outlineLevel="0" collapsed="false">
      <c r="A112" s="69"/>
      <c r="B112" s="101" t="s">
        <v>469</v>
      </c>
      <c r="C112" s="102" t="s">
        <v>151</v>
      </c>
      <c r="D112" s="106" t="s">
        <v>151</v>
      </c>
      <c r="E112" s="106" t="s">
        <v>151</v>
      </c>
      <c r="F112" s="106" t="s">
        <v>151</v>
      </c>
      <c r="G112" s="106" t="s">
        <v>151</v>
      </c>
      <c r="H112" s="106" t="s">
        <v>151</v>
      </c>
      <c r="I112" s="106" t="s">
        <v>151</v>
      </c>
      <c r="J112" s="106" t="s">
        <v>151</v>
      </c>
      <c r="K112" s="106" t="s">
        <v>151</v>
      </c>
      <c r="L112" s="106" t="s">
        <v>151</v>
      </c>
      <c r="M112" s="106" t="s">
        <v>151</v>
      </c>
      <c r="N112" s="106" t="s">
        <v>151</v>
      </c>
      <c r="O112" s="106" t="s">
        <v>151</v>
      </c>
      <c r="P112" s="107" t="s">
        <v>151</v>
      </c>
      <c r="Q112" s="114" t="s">
        <v>368</v>
      </c>
      <c r="R112" s="134"/>
      <c r="S112" s="69"/>
      <c r="T112" s="69"/>
    </row>
    <row r="113" customFormat="false" ht="20.25" hidden="false" customHeight="true" outlineLevel="0" collapsed="false">
      <c r="A113" s="69"/>
      <c r="B113" s="101" t="s">
        <v>470</v>
      </c>
      <c r="C113" s="102" t="s">
        <v>151</v>
      </c>
      <c r="D113" s="106" t="s">
        <v>151</v>
      </c>
      <c r="E113" s="106" t="s">
        <v>151</v>
      </c>
      <c r="F113" s="106" t="s">
        <v>151</v>
      </c>
      <c r="G113" s="106" t="s">
        <v>151</v>
      </c>
      <c r="H113" s="106" t="s">
        <v>151</v>
      </c>
      <c r="I113" s="106" t="s">
        <v>151</v>
      </c>
      <c r="J113" s="106" t="s">
        <v>151</v>
      </c>
      <c r="K113" s="106" t="s">
        <v>151</v>
      </c>
      <c r="L113" s="106" t="s">
        <v>151</v>
      </c>
      <c r="M113" s="106" t="s">
        <v>151</v>
      </c>
      <c r="N113" s="106" t="s">
        <v>151</v>
      </c>
      <c r="O113" s="106" t="s">
        <v>151</v>
      </c>
      <c r="P113" s="107" t="s">
        <v>151</v>
      </c>
      <c r="Q113" s="114" t="s">
        <v>368</v>
      </c>
      <c r="R113" s="134"/>
      <c r="S113" s="69"/>
      <c r="T113" s="69"/>
    </row>
    <row r="114" customFormat="false" ht="20.25" hidden="false" customHeight="true" outlineLevel="0" collapsed="false">
      <c r="A114" s="69"/>
      <c r="B114" s="128" t="s">
        <v>471</v>
      </c>
      <c r="C114" s="102" t="s">
        <v>151</v>
      </c>
      <c r="D114" s="107" t="s">
        <v>443</v>
      </c>
      <c r="E114" s="107" t="s">
        <v>368</v>
      </c>
      <c r="F114" s="107" t="s">
        <v>378</v>
      </c>
      <c r="G114" s="107" t="s">
        <v>434</v>
      </c>
      <c r="H114" s="107" t="s">
        <v>377</v>
      </c>
      <c r="I114" s="107" t="s">
        <v>377</v>
      </c>
      <c r="J114" s="107" t="s">
        <v>377</v>
      </c>
      <c r="K114" s="107" t="s">
        <v>378</v>
      </c>
      <c r="L114" s="107" t="s">
        <v>378</v>
      </c>
      <c r="M114" s="107" t="s">
        <v>378</v>
      </c>
      <c r="N114" s="107" t="s">
        <v>378</v>
      </c>
      <c r="O114" s="107" t="s">
        <v>378</v>
      </c>
      <c r="P114" s="107" t="s">
        <v>378</v>
      </c>
      <c r="Q114" s="141" t="s">
        <v>368</v>
      </c>
      <c r="R114" s="134"/>
      <c r="S114" s="69"/>
      <c r="T114" s="69"/>
    </row>
    <row r="115" customFormat="false" ht="15" hidden="false" customHeight="false" outlineLevel="0" collapsed="false">
      <c r="A115" s="69"/>
      <c r="B115" s="101" t="s">
        <v>151</v>
      </c>
      <c r="C115" s="102" t="s">
        <v>151</v>
      </c>
      <c r="D115" s="106" t="s">
        <v>151</v>
      </c>
      <c r="E115" s="106" t="s">
        <v>151</v>
      </c>
      <c r="F115" s="106" t="s">
        <v>151</v>
      </c>
      <c r="G115" s="106" t="s">
        <v>151</v>
      </c>
      <c r="H115" s="106" t="s">
        <v>151</v>
      </c>
      <c r="I115" s="106" t="s">
        <v>151</v>
      </c>
      <c r="J115" s="106" t="s">
        <v>151</v>
      </c>
      <c r="K115" s="106" t="s">
        <v>151</v>
      </c>
      <c r="L115" s="106" t="s">
        <v>151</v>
      </c>
      <c r="M115" s="106" t="s">
        <v>151</v>
      </c>
      <c r="N115" s="106" t="s">
        <v>151</v>
      </c>
      <c r="O115" s="106" t="s">
        <v>151</v>
      </c>
      <c r="P115" s="107" t="s">
        <v>151</v>
      </c>
      <c r="Q115" s="107" t="s">
        <v>151</v>
      </c>
      <c r="R115" s="134"/>
      <c r="S115" s="69"/>
      <c r="T115" s="69"/>
    </row>
    <row r="116" customFormat="false" ht="20.25" hidden="false" customHeight="true" outlineLevel="0" collapsed="false">
      <c r="A116" s="69"/>
      <c r="B116" s="101" t="s">
        <v>374</v>
      </c>
      <c r="C116" s="102" t="s">
        <v>151</v>
      </c>
      <c r="D116" s="106" t="s">
        <v>151</v>
      </c>
      <c r="E116" s="106" t="s">
        <v>151</v>
      </c>
      <c r="F116" s="106" t="s">
        <v>151</v>
      </c>
      <c r="G116" s="106" t="s">
        <v>151</v>
      </c>
      <c r="H116" s="106" t="s">
        <v>151</v>
      </c>
      <c r="I116" s="106" t="s">
        <v>151</v>
      </c>
      <c r="J116" s="106" t="s">
        <v>151</v>
      </c>
      <c r="K116" s="106" t="s">
        <v>151</v>
      </c>
      <c r="L116" s="106" t="s">
        <v>151</v>
      </c>
      <c r="M116" s="106" t="s">
        <v>151</v>
      </c>
      <c r="N116" s="106" t="s">
        <v>151</v>
      </c>
      <c r="O116" s="106" t="s">
        <v>151</v>
      </c>
      <c r="P116" s="107" t="s">
        <v>151</v>
      </c>
      <c r="Q116" s="114" t="s">
        <v>368</v>
      </c>
      <c r="R116" s="134"/>
      <c r="S116" s="69"/>
      <c r="T116" s="69"/>
    </row>
    <row r="117" customFormat="false" ht="20.25" hidden="false" customHeight="true" outlineLevel="0" collapsed="false">
      <c r="A117" s="69"/>
      <c r="B117" s="128" t="s">
        <v>472</v>
      </c>
      <c r="C117" s="102" t="s">
        <v>151</v>
      </c>
      <c r="D117" s="107" t="s">
        <v>443</v>
      </c>
      <c r="E117" s="107" t="s">
        <v>368</v>
      </c>
      <c r="F117" s="107" t="s">
        <v>378</v>
      </c>
      <c r="G117" s="107" t="s">
        <v>434</v>
      </c>
      <c r="H117" s="107" t="s">
        <v>377</v>
      </c>
      <c r="I117" s="107" t="s">
        <v>377</v>
      </c>
      <c r="J117" s="107" t="s">
        <v>377</v>
      </c>
      <c r="K117" s="107" t="s">
        <v>378</v>
      </c>
      <c r="L117" s="107" t="s">
        <v>378</v>
      </c>
      <c r="M117" s="107" t="s">
        <v>378</v>
      </c>
      <c r="N117" s="107" t="s">
        <v>378</v>
      </c>
      <c r="O117" s="107" t="s">
        <v>378</v>
      </c>
      <c r="P117" s="107" t="s">
        <v>378</v>
      </c>
      <c r="Q117" s="114" t="s">
        <v>368</v>
      </c>
      <c r="R117" s="134"/>
      <c r="S117" s="69"/>
      <c r="T117" s="69"/>
    </row>
    <row r="118" customFormat="false" ht="15" hidden="false" customHeight="false" outlineLevel="0" collapsed="false">
      <c r="A118" s="69"/>
      <c r="B118" s="101" t="s">
        <v>151</v>
      </c>
      <c r="C118" s="102" t="s">
        <v>151</v>
      </c>
      <c r="D118" s="105" t="s">
        <v>151</v>
      </c>
      <c r="E118" s="105" t="s">
        <v>151</v>
      </c>
      <c r="F118" s="105" t="s">
        <v>151</v>
      </c>
      <c r="G118" s="105" t="s">
        <v>151</v>
      </c>
      <c r="H118" s="105" t="s">
        <v>151</v>
      </c>
      <c r="I118" s="106" t="s">
        <v>151</v>
      </c>
      <c r="J118" s="106" t="s">
        <v>151</v>
      </c>
      <c r="K118" s="106" t="s">
        <v>151</v>
      </c>
      <c r="L118" s="106" t="s">
        <v>151</v>
      </c>
      <c r="M118" s="106" t="s">
        <v>151</v>
      </c>
      <c r="N118" s="106" t="s">
        <v>151</v>
      </c>
      <c r="O118" s="106" t="s">
        <v>151</v>
      </c>
      <c r="P118" s="107" t="s">
        <v>151</v>
      </c>
      <c r="Q118" s="114" t="s">
        <v>151</v>
      </c>
      <c r="R118" s="134"/>
      <c r="S118" s="69"/>
      <c r="T118" s="69"/>
    </row>
    <row r="119" customFormat="false" ht="15" hidden="false" customHeight="false" outlineLevel="0" collapsed="false">
      <c r="A119" s="69"/>
      <c r="B119" s="101" t="s">
        <v>72</v>
      </c>
      <c r="C119" s="102" t="s">
        <v>151</v>
      </c>
      <c r="D119" s="105" t="s">
        <v>151</v>
      </c>
      <c r="E119" s="105" t="s">
        <v>151</v>
      </c>
      <c r="F119" s="112" t="n">
        <v>3690</v>
      </c>
      <c r="G119" s="105" t="s">
        <v>151</v>
      </c>
      <c r="H119" s="105" t="s">
        <v>151</v>
      </c>
      <c r="I119" s="101" t="s">
        <v>151</v>
      </c>
      <c r="J119" s="101" t="s">
        <v>151</v>
      </c>
      <c r="K119" s="101" t="s">
        <v>151</v>
      </c>
      <c r="L119" s="101" t="s">
        <v>151</v>
      </c>
      <c r="M119" s="101" t="s">
        <v>151</v>
      </c>
      <c r="N119" s="101" t="s">
        <v>151</v>
      </c>
      <c r="O119" s="101" t="s">
        <v>151</v>
      </c>
      <c r="P119" s="124" t="s">
        <v>151</v>
      </c>
      <c r="Q119" s="109" t="n">
        <v>3690</v>
      </c>
      <c r="R119" s="134"/>
      <c r="S119" s="69"/>
      <c r="T119" s="69"/>
    </row>
    <row r="120" customFormat="false" ht="20.25" hidden="false" customHeight="true" outlineLevel="0" collapsed="false">
      <c r="A120" s="69"/>
      <c r="B120" s="101" t="s">
        <v>473</v>
      </c>
      <c r="C120" s="102" t="s">
        <v>151</v>
      </c>
      <c r="D120" s="127" t="n">
        <v>9.96</v>
      </c>
      <c r="E120" s="127" t="n">
        <v>9.96</v>
      </c>
      <c r="F120" s="103" t="n">
        <v>9.96</v>
      </c>
      <c r="G120" s="127" t="n">
        <v>9.96</v>
      </c>
      <c r="H120" s="105" t="s">
        <v>151</v>
      </c>
      <c r="I120" s="106" t="s">
        <v>151</v>
      </c>
      <c r="J120" s="106" t="s">
        <v>151</v>
      </c>
      <c r="K120" s="106" t="s">
        <v>151</v>
      </c>
      <c r="L120" s="106" t="s">
        <v>151</v>
      </c>
      <c r="M120" s="106" t="s">
        <v>151</v>
      </c>
      <c r="N120" s="106" t="s">
        <v>151</v>
      </c>
      <c r="O120" s="106" t="s">
        <v>151</v>
      </c>
      <c r="P120" s="107" t="s">
        <v>151</v>
      </c>
      <c r="Q120" s="114" t="n">
        <v>39.84</v>
      </c>
      <c r="R120" s="134"/>
      <c r="S120" s="69"/>
      <c r="T120" s="69"/>
    </row>
    <row r="121" customFormat="false" ht="20.25" hidden="false" customHeight="true" outlineLevel="0" collapsed="false">
      <c r="A121" s="69"/>
      <c r="B121" s="101" t="s">
        <v>474</v>
      </c>
      <c r="C121" s="102" t="s">
        <v>151</v>
      </c>
      <c r="D121" s="105" t="s">
        <v>151</v>
      </c>
      <c r="E121" s="105" t="s">
        <v>151</v>
      </c>
      <c r="F121" s="103" t="s">
        <v>151</v>
      </c>
      <c r="G121" s="105" t="s">
        <v>151</v>
      </c>
      <c r="H121" s="105" t="s">
        <v>151</v>
      </c>
      <c r="I121" s="106" t="s">
        <v>151</v>
      </c>
      <c r="J121" s="106" t="s">
        <v>151</v>
      </c>
      <c r="K121" s="106" t="s">
        <v>151</v>
      </c>
      <c r="L121" s="106" t="s">
        <v>151</v>
      </c>
      <c r="M121" s="106" t="s">
        <v>151</v>
      </c>
      <c r="N121" s="106" t="s">
        <v>151</v>
      </c>
      <c r="O121" s="106" t="s">
        <v>151</v>
      </c>
      <c r="P121" s="107" t="s">
        <v>151</v>
      </c>
      <c r="Q121" s="114" t="s">
        <v>368</v>
      </c>
      <c r="R121" s="134"/>
      <c r="S121" s="69"/>
      <c r="T121" s="69"/>
    </row>
    <row r="122" customFormat="false" ht="15" hidden="false" customHeight="false" outlineLevel="0" collapsed="false">
      <c r="A122" s="69"/>
      <c r="B122" s="101" t="s">
        <v>475</v>
      </c>
      <c r="C122" s="102" t="s">
        <v>151</v>
      </c>
      <c r="D122" s="127" t="n">
        <v>166.43</v>
      </c>
      <c r="E122" s="103" t="n">
        <v>155.43</v>
      </c>
      <c r="F122" s="103" t="n">
        <v>235.03</v>
      </c>
      <c r="G122" s="103" t="n">
        <v>108.43</v>
      </c>
      <c r="H122" s="105" t="s">
        <v>151</v>
      </c>
      <c r="I122" s="106" t="s">
        <v>151</v>
      </c>
      <c r="J122" s="106" t="s">
        <v>151</v>
      </c>
      <c r="K122" s="106" t="s">
        <v>151</v>
      </c>
      <c r="L122" s="106" t="s">
        <v>151</v>
      </c>
      <c r="M122" s="106" t="s">
        <v>151</v>
      </c>
      <c r="N122" s="106" t="s">
        <v>151</v>
      </c>
      <c r="O122" s="106" t="s">
        <v>151</v>
      </c>
      <c r="P122" s="107" t="s">
        <v>151</v>
      </c>
      <c r="Q122" s="114" t="n">
        <v>665.32</v>
      </c>
      <c r="R122" s="134"/>
      <c r="S122" s="69"/>
      <c r="T122" s="69"/>
    </row>
    <row r="123" customFormat="false" ht="15" hidden="false" customHeight="false" outlineLevel="0" collapsed="false">
      <c r="A123" s="69"/>
      <c r="B123" s="101" t="s">
        <v>476</v>
      </c>
      <c r="C123" s="102" t="s">
        <v>151</v>
      </c>
      <c r="D123" s="103" t="s">
        <v>151</v>
      </c>
      <c r="E123" s="103" t="s">
        <v>151</v>
      </c>
      <c r="F123" s="103" t="s">
        <v>151</v>
      </c>
      <c r="G123" s="142" t="n">
        <v>37250</v>
      </c>
      <c r="H123" s="105" t="s">
        <v>151</v>
      </c>
      <c r="I123" s="101" t="s">
        <v>151</v>
      </c>
      <c r="J123" s="101" t="s">
        <v>151</v>
      </c>
      <c r="K123" s="101" t="s">
        <v>151</v>
      </c>
      <c r="L123" s="101" t="s">
        <v>151</v>
      </c>
      <c r="M123" s="101" t="s">
        <v>151</v>
      </c>
      <c r="N123" s="101" t="s">
        <v>151</v>
      </c>
      <c r="O123" s="101" t="s">
        <v>151</v>
      </c>
      <c r="P123" s="124" t="s">
        <v>151</v>
      </c>
      <c r="Q123" s="109" t="n">
        <v>37250</v>
      </c>
      <c r="R123" s="134"/>
      <c r="S123" s="69"/>
      <c r="T123" s="69"/>
    </row>
    <row r="124" customFormat="false" ht="15" hidden="false" customHeight="false" outlineLevel="0" collapsed="false">
      <c r="A124" s="69"/>
      <c r="B124" s="101" t="s">
        <v>477</v>
      </c>
      <c r="C124" s="102" t="s">
        <v>151</v>
      </c>
      <c r="D124" s="103" t="s">
        <v>151</v>
      </c>
      <c r="E124" s="103" t="s">
        <v>151</v>
      </c>
      <c r="F124" s="103" t="s">
        <v>151</v>
      </c>
      <c r="G124" s="108" t="n">
        <v>1250</v>
      </c>
      <c r="H124" s="105" t="s">
        <v>151</v>
      </c>
      <c r="I124" s="101" t="s">
        <v>151</v>
      </c>
      <c r="J124" s="101" t="s">
        <v>151</v>
      </c>
      <c r="K124" s="101" t="s">
        <v>151</v>
      </c>
      <c r="L124" s="101" t="s">
        <v>151</v>
      </c>
      <c r="M124" s="101" t="s">
        <v>151</v>
      </c>
      <c r="N124" s="101" t="s">
        <v>151</v>
      </c>
      <c r="O124" s="101" t="s">
        <v>151</v>
      </c>
      <c r="P124" s="124" t="s">
        <v>151</v>
      </c>
      <c r="Q124" s="109" t="n">
        <v>1250</v>
      </c>
      <c r="R124" s="134"/>
      <c r="S124" s="69"/>
      <c r="T124" s="69"/>
    </row>
    <row r="125" customFormat="false" ht="15" hidden="false" customHeight="false" outlineLevel="0" collapsed="false">
      <c r="A125" s="69"/>
      <c r="B125" s="101" t="s">
        <v>478</v>
      </c>
      <c r="C125" s="102" t="s">
        <v>151</v>
      </c>
      <c r="D125" s="103" t="s">
        <v>151</v>
      </c>
      <c r="E125" s="103" t="s">
        <v>151</v>
      </c>
      <c r="F125" s="103" t="s">
        <v>151</v>
      </c>
      <c r="G125" s="143" t="n">
        <v>6150</v>
      </c>
      <c r="H125" s="105" t="s">
        <v>151</v>
      </c>
      <c r="I125" s="101" t="s">
        <v>151</v>
      </c>
      <c r="J125" s="101" t="s">
        <v>151</v>
      </c>
      <c r="K125" s="101" t="s">
        <v>151</v>
      </c>
      <c r="L125" s="101" t="s">
        <v>151</v>
      </c>
      <c r="M125" s="101" t="s">
        <v>151</v>
      </c>
      <c r="N125" s="101" t="s">
        <v>151</v>
      </c>
      <c r="O125" s="101" t="s">
        <v>151</v>
      </c>
      <c r="P125" s="124" t="s">
        <v>151</v>
      </c>
      <c r="Q125" s="109" t="n">
        <v>6150</v>
      </c>
      <c r="R125" s="134"/>
      <c r="S125" s="69"/>
      <c r="T125" s="69"/>
    </row>
    <row r="126" customFormat="false" ht="15" hidden="false" customHeight="false" outlineLevel="0" collapsed="false">
      <c r="A126" s="69"/>
      <c r="B126" s="101" t="s">
        <v>479</v>
      </c>
      <c r="C126" s="102" t="s">
        <v>151</v>
      </c>
      <c r="D126" s="142" t="n">
        <v>3133.8</v>
      </c>
      <c r="E126" s="105" t="s">
        <v>151</v>
      </c>
      <c r="F126" s="105" t="s">
        <v>151</v>
      </c>
      <c r="G126" s="105" t="s">
        <v>151</v>
      </c>
      <c r="H126" s="105" t="s">
        <v>151</v>
      </c>
      <c r="I126" s="101" t="s">
        <v>151</v>
      </c>
      <c r="J126" s="101" t="s">
        <v>151</v>
      </c>
      <c r="K126" s="101" t="s">
        <v>151</v>
      </c>
      <c r="L126" s="101" t="s">
        <v>151</v>
      </c>
      <c r="M126" s="101" t="s">
        <v>151</v>
      </c>
      <c r="N126" s="101" t="s">
        <v>151</v>
      </c>
      <c r="O126" s="101" t="s">
        <v>151</v>
      </c>
      <c r="P126" s="124" t="s">
        <v>151</v>
      </c>
      <c r="Q126" s="109" t="n">
        <v>3133.8</v>
      </c>
      <c r="R126" s="134"/>
      <c r="S126" s="69"/>
      <c r="T126" s="69"/>
    </row>
    <row r="127" customFormat="false" ht="20.25" hidden="false" customHeight="true" outlineLevel="0" collapsed="false">
      <c r="A127" s="69"/>
      <c r="B127" s="101" t="s">
        <v>480</v>
      </c>
      <c r="C127" s="102" t="s">
        <v>151</v>
      </c>
      <c r="D127" s="105" t="s">
        <v>151</v>
      </c>
      <c r="E127" s="103" t="n">
        <v>51</v>
      </c>
      <c r="F127" s="103" t="n">
        <v>51</v>
      </c>
      <c r="G127" s="103" t="n">
        <v>51</v>
      </c>
      <c r="H127" s="105" t="s">
        <v>151</v>
      </c>
      <c r="I127" s="101" t="s">
        <v>151</v>
      </c>
      <c r="J127" s="101" t="s">
        <v>151</v>
      </c>
      <c r="K127" s="101" t="s">
        <v>151</v>
      </c>
      <c r="L127" s="101" t="s">
        <v>151</v>
      </c>
      <c r="M127" s="101" t="s">
        <v>151</v>
      </c>
      <c r="N127" s="101" t="s">
        <v>151</v>
      </c>
      <c r="O127" s="101" t="s">
        <v>151</v>
      </c>
      <c r="P127" s="124" t="s">
        <v>151</v>
      </c>
      <c r="Q127" s="114" t="s">
        <v>151</v>
      </c>
      <c r="R127" s="134"/>
      <c r="S127" s="69"/>
      <c r="T127" s="69"/>
    </row>
    <row r="128" customFormat="false" ht="20.25" hidden="false" customHeight="true" outlineLevel="0" collapsed="false">
      <c r="A128" s="69"/>
      <c r="B128" s="101" t="s">
        <v>481</v>
      </c>
      <c r="C128" s="102" t="s">
        <v>151</v>
      </c>
      <c r="D128" s="105" t="s">
        <v>151</v>
      </c>
      <c r="E128" s="103" t="n">
        <v>731.85</v>
      </c>
      <c r="F128" s="105" t="s">
        <v>151</v>
      </c>
      <c r="G128" s="105" t="s">
        <v>151</v>
      </c>
      <c r="H128" s="105" t="s">
        <v>151</v>
      </c>
      <c r="I128" s="101" t="s">
        <v>151</v>
      </c>
      <c r="J128" s="101" t="s">
        <v>151</v>
      </c>
      <c r="K128" s="101" t="s">
        <v>151</v>
      </c>
      <c r="L128" s="101" t="s">
        <v>151</v>
      </c>
      <c r="M128" s="101" t="s">
        <v>151</v>
      </c>
      <c r="N128" s="101" t="s">
        <v>151</v>
      </c>
      <c r="O128" s="101" t="s">
        <v>151</v>
      </c>
      <c r="P128" s="124" t="s">
        <v>151</v>
      </c>
      <c r="Q128" s="114" t="s">
        <v>151</v>
      </c>
      <c r="R128" s="134"/>
      <c r="S128" s="69"/>
      <c r="T128" s="69"/>
    </row>
    <row r="129" customFormat="false" ht="20.25" hidden="false" customHeight="true" outlineLevel="0" collapsed="false">
      <c r="A129" s="69"/>
      <c r="B129" s="101" t="s">
        <v>482</v>
      </c>
      <c r="C129" s="102" t="s">
        <v>151</v>
      </c>
      <c r="D129" s="142" t="n">
        <v>15488.07</v>
      </c>
      <c r="E129" s="103" t="n">
        <v>680.88</v>
      </c>
      <c r="F129" s="103" t="n">
        <v>680.88</v>
      </c>
      <c r="G129" s="105" t="n">
        <v>680.87</v>
      </c>
      <c r="H129" s="105" t="s">
        <v>151</v>
      </c>
      <c r="I129" s="106" t="s">
        <v>151</v>
      </c>
      <c r="J129" s="106" t="s">
        <v>151</v>
      </c>
      <c r="K129" s="106" t="s">
        <v>151</v>
      </c>
      <c r="L129" s="106" t="s">
        <v>151</v>
      </c>
      <c r="M129" s="106" t="s">
        <v>151</v>
      </c>
      <c r="N129" s="106" t="s">
        <v>151</v>
      </c>
      <c r="O129" s="106" t="s">
        <v>151</v>
      </c>
      <c r="P129" s="107" t="s">
        <v>151</v>
      </c>
      <c r="Q129" s="109" t="n">
        <v>17530.7</v>
      </c>
      <c r="R129" s="134"/>
      <c r="S129" s="69"/>
      <c r="T129" s="69"/>
    </row>
    <row r="130" customFormat="false" ht="30.75" hidden="false" customHeight="true" outlineLevel="0" collapsed="false">
      <c r="A130" s="69"/>
      <c r="B130" s="115" t="s">
        <v>483</v>
      </c>
      <c r="C130" s="102" t="s">
        <v>151</v>
      </c>
      <c r="D130" s="117" t="n">
        <v>18798.26</v>
      </c>
      <c r="E130" s="117" t="n">
        <v>1629.12</v>
      </c>
      <c r="F130" s="117" t="n">
        <v>4666.87</v>
      </c>
      <c r="G130" s="117" t="n">
        <v>45500.26</v>
      </c>
      <c r="H130" s="107" t="s">
        <v>377</v>
      </c>
      <c r="I130" s="107" t="s">
        <v>377</v>
      </c>
      <c r="J130" s="107" t="s">
        <v>377</v>
      </c>
      <c r="K130" s="107" t="s">
        <v>378</v>
      </c>
      <c r="L130" s="107" t="s">
        <v>378</v>
      </c>
      <c r="M130" s="107" t="s">
        <v>378</v>
      </c>
      <c r="N130" s="107" t="s">
        <v>378</v>
      </c>
      <c r="O130" s="107" t="s">
        <v>378</v>
      </c>
      <c r="P130" s="107" t="s">
        <v>378</v>
      </c>
      <c r="Q130" s="118" t="n">
        <v>69709.66</v>
      </c>
      <c r="R130" s="134"/>
      <c r="S130" s="69"/>
      <c r="T130" s="69"/>
    </row>
    <row r="131" customFormat="false" ht="15" hidden="false" customHeight="false" outlineLevel="0" collapsed="false">
      <c r="A131" s="69"/>
      <c r="B131" s="102" t="s">
        <v>151</v>
      </c>
      <c r="C131" s="102" t="s">
        <v>151</v>
      </c>
      <c r="D131" s="102" t="s">
        <v>151</v>
      </c>
      <c r="E131" s="102" t="s">
        <v>151</v>
      </c>
      <c r="F131" s="102" t="s">
        <v>151</v>
      </c>
      <c r="G131" s="102" t="s">
        <v>151</v>
      </c>
      <c r="H131" s="102" t="s">
        <v>151</v>
      </c>
      <c r="I131" s="102" t="s">
        <v>151</v>
      </c>
      <c r="J131" s="102" t="s">
        <v>151</v>
      </c>
      <c r="K131" s="102" t="s">
        <v>151</v>
      </c>
      <c r="L131" s="102" t="s">
        <v>151</v>
      </c>
      <c r="M131" s="102" t="s">
        <v>151</v>
      </c>
      <c r="N131" s="102" t="s">
        <v>151</v>
      </c>
      <c r="O131" s="102" t="s">
        <v>151</v>
      </c>
      <c r="P131" s="102" t="s">
        <v>151</v>
      </c>
      <c r="Q131" s="144" t="s">
        <v>151</v>
      </c>
      <c r="R131" s="69"/>
      <c r="S131" s="69"/>
      <c r="T131" s="69"/>
    </row>
    <row r="132" customFormat="false" ht="30.75" hidden="false" customHeight="true" outlineLevel="0" collapsed="false">
      <c r="A132" s="69"/>
      <c r="B132" s="128" t="s">
        <v>484</v>
      </c>
      <c r="C132" s="102" t="s">
        <v>151</v>
      </c>
      <c r="D132" s="131" t="n">
        <v>23195.14</v>
      </c>
      <c r="E132" s="131" t="n">
        <v>19754.89</v>
      </c>
      <c r="F132" s="131" t="n">
        <v>9896.49</v>
      </c>
      <c r="G132" s="131" t="n">
        <v>65165.39</v>
      </c>
      <c r="H132" s="132" t="s">
        <v>377</v>
      </c>
      <c r="I132" s="132" t="s">
        <v>377</v>
      </c>
      <c r="J132" s="132" t="s">
        <v>377</v>
      </c>
      <c r="K132" s="132" t="s">
        <v>378</v>
      </c>
      <c r="L132" s="132" t="s">
        <v>378</v>
      </c>
      <c r="M132" s="132" t="s">
        <v>378</v>
      </c>
      <c r="N132" s="132" t="s">
        <v>378</v>
      </c>
      <c r="O132" s="132" t="s">
        <v>378</v>
      </c>
      <c r="P132" s="132" t="s">
        <v>378</v>
      </c>
      <c r="Q132" s="145" t="n">
        <v>117127.06</v>
      </c>
      <c r="R132" s="69"/>
      <c r="S132" s="69"/>
      <c r="T132" s="69"/>
    </row>
    <row r="133" customFormat="false" ht="20.25" hidden="false" customHeight="true" outlineLevel="0" collapsed="false">
      <c r="A133" s="69"/>
      <c r="B133" s="128" t="s">
        <v>485</v>
      </c>
      <c r="C133" s="102" t="s">
        <v>151</v>
      </c>
      <c r="D133" s="131" t="n">
        <v>-21248.99</v>
      </c>
      <c r="E133" s="131" t="n">
        <v>-24247.19</v>
      </c>
      <c r="F133" s="131" t="n">
        <v>14922.46</v>
      </c>
      <c r="G133" s="131" t="n">
        <v>-69805.46</v>
      </c>
      <c r="H133" s="132" t="s">
        <v>377</v>
      </c>
      <c r="I133" s="132" t="s">
        <v>377</v>
      </c>
      <c r="J133" s="132" t="s">
        <v>377</v>
      </c>
      <c r="K133" s="132" t="s">
        <v>378</v>
      </c>
      <c r="L133" s="132" t="s">
        <v>378</v>
      </c>
      <c r="M133" s="132" t="s">
        <v>378</v>
      </c>
      <c r="N133" s="132" t="s">
        <v>378</v>
      </c>
      <c r="O133" s="132" t="s">
        <v>378</v>
      </c>
      <c r="P133" s="131" t="n">
        <v>64156.8</v>
      </c>
      <c r="Q133" s="146" t="n">
        <v>-35337.53</v>
      </c>
      <c r="R133" s="69"/>
      <c r="S133" s="69"/>
      <c r="T133" s="69"/>
    </row>
    <row r="134" customFormat="false" ht="15" hidden="false" customHeight="false" outlineLevel="0" collapsed="false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</row>
    <row r="135" customFormat="false" ht="15" hidden="false" customHeight="false" outlineLevel="0" collapsed="false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</row>
    <row r="136" customFormat="false" ht="15" hidden="false" customHeight="false" outlineLevel="0" collapsed="false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</row>
    <row r="137" customFormat="false" ht="15" hidden="false" customHeight="false" outlineLevel="0" collapsed="false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</row>
    <row r="138" customFormat="false" ht="15" hidden="false" customHeight="false" outlineLevel="0" collapsed="false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</row>
    <row r="139" customFormat="false" ht="15" hidden="false" customHeight="false" outlineLevel="0" collapsed="false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</row>
    <row r="140" customFormat="false" ht="15" hidden="false" customHeight="false" outlineLevel="0" collapsed="false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</row>
    <row r="141" customFormat="false" ht="15" hidden="false" customHeight="false" outlineLevel="0" collapsed="false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</row>
    <row r="142" customFormat="false" ht="15" hidden="false" customHeight="false" outlineLevel="0" collapsed="false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</row>
    <row r="143" customFormat="false" ht="15" hidden="false" customHeight="false" outlineLevel="0" collapsed="false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</row>
    <row r="144" customFormat="false" ht="15" hidden="false" customHeight="false" outlineLevel="0" collapsed="false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</row>
    <row r="145" customFormat="false" ht="15" hidden="false" customHeight="false" outlineLevel="0" collapsed="false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</row>
    <row r="146" customFormat="false" ht="15" hidden="false" customHeight="false" outlineLevel="0" collapsed="false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</row>
    <row r="147" customFormat="false" ht="15" hidden="false" customHeight="false" outlineLevel="0" collapsed="false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</row>
    <row r="148" customFormat="false" ht="15" hidden="false" customHeight="false" outlineLevel="0" collapsed="false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</row>
    <row r="149" customFormat="false" ht="15" hidden="false" customHeight="false" outlineLevel="0" collapsed="false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</row>
    <row r="150" customFormat="false" ht="15" hidden="false" customHeight="false" outlineLevel="0" collapsed="false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</row>
    <row r="151" customFormat="false" ht="15" hidden="false" customHeight="false" outlineLevel="0" collapsed="false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</row>
    <row r="152" customFormat="false" ht="15" hidden="false" customHeight="false" outlineLevel="0" collapsed="false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</row>
    <row r="153" customFormat="false" ht="15" hidden="false" customHeight="false" outlineLevel="0" collapsed="false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</row>
    <row r="154" customFormat="false" ht="15" hidden="false" customHeight="false" outlineLevel="0" collapsed="false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</row>
    <row r="155" customFormat="false" ht="15" hidden="false" customHeight="false" outlineLevel="0" collapsed="false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</row>
    <row r="156" customFormat="false" ht="15" hidden="false" customHeight="false" outlineLevel="0" collapsed="false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</row>
    <row r="157" customFormat="false" ht="15" hidden="false" customHeight="false" outlineLevel="0" collapsed="false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</row>
    <row r="158" customFormat="false" ht="15" hidden="false" customHeight="false" outlineLevel="0" collapsed="false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</row>
    <row r="159" customFormat="false" ht="15" hidden="false" customHeight="false" outlineLevel="0" collapsed="false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</row>
    <row r="160" customFormat="false" ht="15" hidden="false" customHeight="false" outlineLevel="0" collapsed="false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</row>
    <row r="161" customFormat="false" ht="15" hidden="false" customHeight="false" outlineLevel="0" collapsed="false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</row>
    <row r="162" customFormat="false" ht="15" hidden="false" customHeight="false" outlineLevel="0" collapsed="false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</row>
    <row r="163" customFormat="false" ht="15" hidden="false" customHeight="false" outlineLevel="0" collapsed="false">
      <c r="A163" s="78" t="s">
        <v>486</v>
      </c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</row>
  </sheetData>
  <mergeCells count="2">
    <mergeCell ref="B1:P1"/>
    <mergeCell ref="B2:P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8" hidden="false" customHeight="true" outlineLevel="0" collapsed="false">
      <c r="A1" s="17"/>
      <c r="B1" s="96" t="s">
        <v>487</v>
      </c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17"/>
      <c r="Q1" s="17"/>
      <c r="R1" s="17"/>
      <c r="S1" s="17"/>
      <c r="T1" s="17"/>
      <c r="U1" s="17"/>
      <c r="V1" s="17"/>
    </row>
    <row r="2" customFormat="false" ht="18" hidden="false" customHeight="true" outlineLevel="0" collapsed="false">
      <c r="A2" s="17"/>
      <c r="B2" s="96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17"/>
      <c r="Q2" s="17"/>
      <c r="R2" s="17"/>
      <c r="S2" s="17"/>
      <c r="T2" s="17"/>
      <c r="U2" s="17"/>
      <c r="V2" s="17"/>
    </row>
    <row r="3" customFormat="false" ht="15" hidden="false" customHeight="false" outlineLevel="0" collapsed="false">
      <c r="A3" s="17"/>
      <c r="B3" s="97"/>
      <c r="C3" s="9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</row>
    <row r="4" customFormat="false" ht="15" hidden="false" customHeight="false" outlineLevel="0" collapsed="false">
      <c r="A4" s="17"/>
      <c r="B4" s="97"/>
      <c r="C4" s="97"/>
      <c r="D4" s="97"/>
      <c r="E4" s="97" t="n">
        <v>0</v>
      </c>
      <c r="F4" s="97" t="n">
        <v>0</v>
      </c>
      <c r="G4" s="97" t="n">
        <v>0</v>
      </c>
      <c r="H4" s="97" t="n">
        <v>0</v>
      </c>
      <c r="I4" s="97" t="n">
        <v>0</v>
      </c>
      <c r="J4" s="97" t="n">
        <v>0</v>
      </c>
      <c r="K4" s="97" t="n">
        <v>0</v>
      </c>
      <c r="L4" s="97" t="n">
        <v>0</v>
      </c>
      <c r="M4" s="97" t="n">
        <v>0</v>
      </c>
      <c r="N4" s="97" t="n">
        <v>0</v>
      </c>
      <c r="O4" s="97" t="n">
        <v>0</v>
      </c>
      <c r="P4" s="17"/>
      <c r="Q4" s="17"/>
      <c r="R4" s="17"/>
      <c r="S4" s="17"/>
      <c r="T4" s="17"/>
      <c r="U4" s="17"/>
      <c r="V4" s="17"/>
    </row>
    <row r="5" customFormat="false" ht="15" hidden="false" customHeight="false" outlineLevel="0" collapsed="false">
      <c r="A5" s="69"/>
      <c r="B5" s="98" t="s">
        <v>364</v>
      </c>
      <c r="C5" s="98" t="s">
        <v>365</v>
      </c>
      <c r="D5" s="99" t="n">
        <v>46048</v>
      </c>
      <c r="E5" s="99" t="n">
        <v>46079</v>
      </c>
      <c r="F5" s="99" t="n">
        <v>46107</v>
      </c>
      <c r="G5" s="99" t="n">
        <v>46138</v>
      </c>
      <c r="H5" s="99" t="n">
        <v>46167</v>
      </c>
      <c r="I5" s="99" t="n">
        <v>46198</v>
      </c>
      <c r="J5" s="99" t="n">
        <v>46228</v>
      </c>
      <c r="K5" s="99" t="n">
        <v>46259</v>
      </c>
      <c r="L5" s="99" t="n">
        <v>46290</v>
      </c>
      <c r="M5" s="99" t="n">
        <v>46320</v>
      </c>
      <c r="N5" s="99" t="n">
        <v>46351</v>
      </c>
      <c r="O5" s="99" t="n">
        <v>46381</v>
      </c>
      <c r="P5" s="69"/>
      <c r="Q5" s="69"/>
      <c r="R5" s="69"/>
      <c r="S5" s="69"/>
      <c r="T5" s="69"/>
      <c r="U5" s="69"/>
      <c r="V5" s="69"/>
    </row>
    <row r="6" customFormat="false" ht="15.75" hidden="false" customHeight="true" outlineLevel="0" collapsed="false">
      <c r="A6" s="69"/>
      <c r="B6" s="128" t="s">
        <v>488</v>
      </c>
      <c r="C6" s="102" t="s">
        <v>151</v>
      </c>
      <c r="D6" s="101" t="s">
        <v>151</v>
      </c>
      <c r="E6" s="101" t="s">
        <v>151</v>
      </c>
      <c r="F6" s="101" t="s">
        <v>151</v>
      </c>
      <c r="G6" s="101" t="s">
        <v>151</v>
      </c>
      <c r="H6" s="101" t="s">
        <v>151</v>
      </c>
      <c r="I6" s="101" t="s">
        <v>151</v>
      </c>
      <c r="J6" s="101" t="s">
        <v>151</v>
      </c>
      <c r="K6" s="147"/>
      <c r="L6" s="101" t="s">
        <v>151</v>
      </c>
      <c r="M6" s="101" t="s">
        <v>151</v>
      </c>
      <c r="N6" s="101" t="s">
        <v>151</v>
      </c>
      <c r="O6" s="124" t="s">
        <v>151</v>
      </c>
      <c r="P6" s="69"/>
      <c r="Q6" s="69"/>
      <c r="R6" s="69"/>
      <c r="S6" s="69"/>
      <c r="T6" s="69"/>
      <c r="U6" s="69"/>
      <c r="V6" s="69"/>
    </row>
    <row r="7" customFormat="false" ht="20.25" hidden="false" customHeight="true" outlineLevel="0" collapsed="false">
      <c r="A7" s="69"/>
      <c r="B7" s="128" t="s">
        <v>489</v>
      </c>
      <c r="C7" s="102" t="s">
        <v>151</v>
      </c>
      <c r="D7" s="101" t="s">
        <v>151</v>
      </c>
      <c r="E7" s="101" t="s">
        <v>151</v>
      </c>
      <c r="F7" s="101" t="s">
        <v>151</v>
      </c>
      <c r="G7" s="101" t="s">
        <v>151</v>
      </c>
      <c r="H7" s="101" t="s">
        <v>151</v>
      </c>
      <c r="I7" s="101" t="s">
        <v>151</v>
      </c>
      <c r="J7" s="101" t="s">
        <v>151</v>
      </c>
      <c r="K7" s="101" t="s">
        <v>151</v>
      </c>
      <c r="L7" s="101" t="s">
        <v>151</v>
      </c>
      <c r="M7" s="101" t="s">
        <v>151</v>
      </c>
      <c r="N7" s="101" t="s">
        <v>151</v>
      </c>
      <c r="O7" s="124" t="s">
        <v>151</v>
      </c>
      <c r="P7" s="69"/>
      <c r="Q7" s="69"/>
      <c r="R7" s="69"/>
      <c r="S7" s="69"/>
      <c r="T7" s="69"/>
      <c r="U7" s="69"/>
      <c r="V7" s="69"/>
    </row>
    <row r="8" customFormat="false" ht="15" hidden="false" customHeight="false" outlineLevel="0" collapsed="false">
      <c r="A8" s="69"/>
      <c r="B8" s="101" t="s">
        <v>490</v>
      </c>
      <c r="C8" s="102" t="s">
        <v>151</v>
      </c>
      <c r="D8" s="148" t="n">
        <v>83673</v>
      </c>
      <c r="E8" s="148" t="n">
        <v>59426</v>
      </c>
      <c r="F8" s="148" t="n">
        <v>75234</v>
      </c>
      <c r="G8" s="148" t="n">
        <v>15429</v>
      </c>
      <c r="H8" s="101" t="s">
        <v>151</v>
      </c>
      <c r="I8" s="101" t="s">
        <v>151</v>
      </c>
      <c r="J8" s="101" t="s">
        <v>151</v>
      </c>
      <c r="K8" s="101" t="s">
        <v>151</v>
      </c>
      <c r="L8" s="101" t="s">
        <v>151</v>
      </c>
      <c r="M8" s="101" t="s">
        <v>151</v>
      </c>
      <c r="N8" s="101" t="s">
        <v>151</v>
      </c>
      <c r="O8" s="124" t="s">
        <v>151</v>
      </c>
      <c r="P8" s="69"/>
      <c r="Q8" s="69"/>
      <c r="R8" s="69"/>
      <c r="S8" s="69"/>
      <c r="T8" s="69"/>
      <c r="U8" s="69"/>
      <c r="V8" s="69"/>
    </row>
    <row r="9" customFormat="false" ht="20.25" hidden="false" customHeight="true" outlineLevel="0" collapsed="false">
      <c r="A9" s="69"/>
      <c r="B9" s="101" t="s">
        <v>491</v>
      </c>
      <c r="C9" s="102" t="s">
        <v>151</v>
      </c>
      <c r="D9" s="101" t="s">
        <v>151</v>
      </c>
      <c r="E9" s="101" t="s">
        <v>151</v>
      </c>
      <c r="F9" s="101" t="s">
        <v>151</v>
      </c>
      <c r="G9" s="101" t="s">
        <v>151</v>
      </c>
      <c r="H9" s="101" t="s">
        <v>151</v>
      </c>
      <c r="I9" s="101" t="s">
        <v>151</v>
      </c>
      <c r="J9" s="101" t="s">
        <v>151</v>
      </c>
      <c r="K9" s="101" t="s">
        <v>151</v>
      </c>
      <c r="L9" s="101" t="s">
        <v>151</v>
      </c>
      <c r="M9" s="101" t="s">
        <v>151</v>
      </c>
      <c r="N9" s="101" t="s">
        <v>151</v>
      </c>
      <c r="O9" s="124" t="s">
        <v>151</v>
      </c>
      <c r="P9" s="69"/>
      <c r="Q9" s="69"/>
      <c r="R9" s="69"/>
      <c r="S9" s="69"/>
      <c r="T9" s="69"/>
      <c r="U9" s="69"/>
      <c r="V9" s="69"/>
    </row>
    <row r="10" customFormat="false" ht="15" hidden="false" customHeight="false" outlineLevel="0" collapsed="false">
      <c r="A10" s="69"/>
      <c r="B10" s="101" t="s">
        <v>492</v>
      </c>
      <c r="C10" s="102" t="s">
        <v>151</v>
      </c>
      <c r="D10" s="101" t="s">
        <v>151</v>
      </c>
      <c r="E10" s="101" t="s">
        <v>151</v>
      </c>
      <c r="F10" s="101" t="s">
        <v>151</v>
      </c>
      <c r="G10" s="148" t="n">
        <v>64157</v>
      </c>
      <c r="H10" s="101" t="s">
        <v>151</v>
      </c>
      <c r="I10" s="101" t="s">
        <v>151</v>
      </c>
      <c r="J10" s="101" t="s">
        <v>151</v>
      </c>
      <c r="K10" s="101" t="s">
        <v>151</v>
      </c>
      <c r="L10" s="101" t="s">
        <v>151</v>
      </c>
      <c r="M10" s="101" t="s">
        <v>151</v>
      </c>
      <c r="N10" s="101" t="s">
        <v>151</v>
      </c>
      <c r="O10" s="124" t="s">
        <v>151</v>
      </c>
      <c r="P10" s="69"/>
      <c r="Q10" s="69"/>
      <c r="R10" s="69"/>
      <c r="S10" s="69"/>
      <c r="T10" s="69"/>
      <c r="U10" s="69"/>
      <c r="V10" s="69"/>
    </row>
    <row r="11" customFormat="false" ht="20.25" hidden="false" customHeight="true" outlineLevel="0" collapsed="false">
      <c r="A11" s="69"/>
      <c r="B11" s="101" t="s">
        <v>493</v>
      </c>
      <c r="C11" s="102" t="s">
        <v>151</v>
      </c>
      <c r="D11" s="101" t="s">
        <v>151</v>
      </c>
      <c r="E11" s="101" t="s">
        <v>151</v>
      </c>
      <c r="F11" s="101" t="s">
        <v>151</v>
      </c>
      <c r="G11" s="101" t="s">
        <v>151</v>
      </c>
      <c r="H11" s="101" t="s">
        <v>151</v>
      </c>
      <c r="I11" s="101" t="s">
        <v>151</v>
      </c>
      <c r="J11" s="101" t="s">
        <v>151</v>
      </c>
      <c r="K11" s="101" t="s">
        <v>151</v>
      </c>
      <c r="L11" s="101" t="s">
        <v>151</v>
      </c>
      <c r="M11" s="101" t="s">
        <v>151</v>
      </c>
      <c r="N11" s="101" t="s">
        <v>151</v>
      </c>
      <c r="O11" s="124" t="s">
        <v>151</v>
      </c>
      <c r="P11" s="69"/>
      <c r="Q11" s="69"/>
      <c r="R11" s="69"/>
      <c r="S11" s="69"/>
      <c r="T11" s="69"/>
      <c r="U11" s="69"/>
      <c r="V11" s="69"/>
    </row>
    <row r="12" customFormat="false" ht="15" hidden="false" customHeight="false" outlineLevel="0" collapsed="false">
      <c r="A12" s="69"/>
      <c r="B12" s="101" t="s">
        <v>494</v>
      </c>
      <c r="C12" s="102" t="s">
        <v>151</v>
      </c>
      <c r="D12" s="101" t="s">
        <v>151</v>
      </c>
      <c r="E12" s="101" t="s">
        <v>151</v>
      </c>
      <c r="F12" s="101" t="s">
        <v>151</v>
      </c>
      <c r="G12" s="101" t="s">
        <v>151</v>
      </c>
      <c r="H12" s="101" t="s">
        <v>151</v>
      </c>
      <c r="I12" s="101" t="s">
        <v>151</v>
      </c>
      <c r="J12" s="101" t="s">
        <v>151</v>
      </c>
      <c r="K12" s="101" t="s">
        <v>151</v>
      </c>
      <c r="L12" s="101" t="s">
        <v>151</v>
      </c>
      <c r="M12" s="101" t="s">
        <v>151</v>
      </c>
      <c r="N12" s="101" t="s">
        <v>151</v>
      </c>
      <c r="O12" s="124" t="s">
        <v>151</v>
      </c>
      <c r="P12" s="69"/>
      <c r="Q12" s="69"/>
      <c r="R12" s="69"/>
      <c r="S12" s="69"/>
      <c r="T12" s="69"/>
      <c r="U12" s="69"/>
      <c r="V12" s="69"/>
    </row>
    <row r="13" customFormat="false" ht="30.75" hidden="false" customHeight="true" outlineLevel="0" collapsed="false">
      <c r="A13" s="69"/>
      <c r="B13" s="128" t="s">
        <v>495</v>
      </c>
      <c r="C13" s="102" t="s">
        <v>151</v>
      </c>
      <c r="D13" s="148" t="n">
        <v>83673</v>
      </c>
      <c r="E13" s="148" t="n">
        <v>59426</v>
      </c>
      <c r="F13" s="148" t="n">
        <v>75234</v>
      </c>
      <c r="G13" s="148" t="n">
        <v>79586</v>
      </c>
      <c r="H13" s="101" t="n">
        <v>0</v>
      </c>
      <c r="I13" s="101" t="n">
        <v>0</v>
      </c>
      <c r="J13" s="101" t="n">
        <v>0</v>
      </c>
      <c r="K13" s="101" t="n">
        <v>0</v>
      </c>
      <c r="L13" s="101" t="n">
        <v>0</v>
      </c>
      <c r="M13" s="101" t="n">
        <v>0</v>
      </c>
      <c r="N13" s="101" t="n">
        <v>0</v>
      </c>
      <c r="O13" s="124" t="n">
        <v>0</v>
      </c>
      <c r="P13" s="69"/>
      <c r="Q13" s="69"/>
      <c r="R13" s="69"/>
      <c r="S13" s="69"/>
      <c r="T13" s="69"/>
      <c r="U13" s="69"/>
      <c r="V13" s="69"/>
    </row>
    <row r="14" customFormat="false" ht="15" hidden="false" customHeight="false" outlineLevel="0" collapsed="false">
      <c r="A14" s="69"/>
      <c r="B14" s="101" t="s">
        <v>151</v>
      </c>
      <c r="C14" s="102" t="s">
        <v>151</v>
      </c>
      <c r="D14" s="101" t="s">
        <v>151</v>
      </c>
      <c r="E14" s="101" t="s">
        <v>151</v>
      </c>
      <c r="F14" s="101" t="s">
        <v>151</v>
      </c>
      <c r="G14" s="101" t="s">
        <v>151</v>
      </c>
      <c r="H14" s="101" t="s">
        <v>151</v>
      </c>
      <c r="I14" s="101" t="s">
        <v>151</v>
      </c>
      <c r="J14" s="101" t="s">
        <v>151</v>
      </c>
      <c r="K14" s="101" t="s">
        <v>151</v>
      </c>
      <c r="L14" s="101" t="s">
        <v>151</v>
      </c>
      <c r="M14" s="101" t="s">
        <v>151</v>
      </c>
      <c r="N14" s="101" t="s">
        <v>151</v>
      </c>
      <c r="O14" s="124" t="s">
        <v>151</v>
      </c>
      <c r="P14" s="69"/>
      <c r="Q14" s="69"/>
      <c r="R14" s="69"/>
      <c r="S14" s="69"/>
      <c r="T14" s="69"/>
      <c r="U14" s="69"/>
      <c r="V14" s="69"/>
    </row>
    <row r="15" customFormat="false" ht="20.25" hidden="false" customHeight="true" outlineLevel="0" collapsed="false">
      <c r="A15" s="69"/>
      <c r="B15" s="101" t="s">
        <v>496</v>
      </c>
      <c r="C15" s="102" t="s">
        <v>151</v>
      </c>
      <c r="D15" s="101" t="s">
        <v>151</v>
      </c>
      <c r="E15" s="101" t="s">
        <v>151</v>
      </c>
      <c r="F15" s="101" t="s">
        <v>151</v>
      </c>
      <c r="G15" s="101" t="s">
        <v>151</v>
      </c>
      <c r="H15" s="101" t="s">
        <v>151</v>
      </c>
      <c r="I15" s="101" t="s">
        <v>151</v>
      </c>
      <c r="J15" s="101" t="s">
        <v>151</v>
      </c>
      <c r="K15" s="101" t="s">
        <v>151</v>
      </c>
      <c r="L15" s="101" t="s">
        <v>151</v>
      </c>
      <c r="M15" s="101" t="s">
        <v>151</v>
      </c>
      <c r="N15" s="101" t="s">
        <v>151</v>
      </c>
      <c r="O15" s="124" t="s">
        <v>151</v>
      </c>
      <c r="P15" s="69"/>
      <c r="Q15" s="69"/>
      <c r="R15" s="69"/>
      <c r="S15" s="69"/>
      <c r="T15" s="69"/>
      <c r="U15" s="69"/>
      <c r="V15" s="69"/>
    </row>
    <row r="16" customFormat="false" ht="15" hidden="false" customHeight="false" outlineLevel="0" collapsed="false">
      <c r="A16" s="69"/>
      <c r="B16" s="101" t="s">
        <v>497</v>
      </c>
      <c r="C16" s="102" t="s">
        <v>151</v>
      </c>
      <c r="D16" s="101" t="s">
        <v>151</v>
      </c>
      <c r="E16" s="101" t="s">
        <v>151</v>
      </c>
      <c r="F16" s="101" t="s">
        <v>151</v>
      </c>
      <c r="G16" s="101" t="s">
        <v>151</v>
      </c>
      <c r="H16" s="101" t="s">
        <v>151</v>
      </c>
      <c r="I16" s="101" t="s">
        <v>151</v>
      </c>
      <c r="J16" s="101" t="s">
        <v>151</v>
      </c>
      <c r="K16" s="101" t="s">
        <v>151</v>
      </c>
      <c r="L16" s="101" t="s">
        <v>151</v>
      </c>
      <c r="M16" s="101" t="s">
        <v>151</v>
      </c>
      <c r="N16" s="101" t="s">
        <v>151</v>
      </c>
      <c r="O16" s="124" t="s">
        <v>151</v>
      </c>
      <c r="P16" s="69"/>
      <c r="Q16" s="69"/>
      <c r="R16" s="69"/>
      <c r="S16" s="69"/>
      <c r="T16" s="69"/>
      <c r="U16" s="69"/>
      <c r="V16" s="69"/>
    </row>
    <row r="17" customFormat="false" ht="20.25" hidden="false" customHeight="true" outlineLevel="0" collapsed="false">
      <c r="A17" s="69"/>
      <c r="B17" s="128" t="s">
        <v>498</v>
      </c>
      <c r="C17" s="102" t="s">
        <v>151</v>
      </c>
      <c r="D17" s="148" t="n">
        <v>83673</v>
      </c>
      <c r="E17" s="148" t="n">
        <v>59426</v>
      </c>
      <c r="F17" s="148" t="n">
        <v>75234</v>
      </c>
      <c r="G17" s="148" t="n">
        <v>79586</v>
      </c>
      <c r="H17" s="101" t="n">
        <v>0</v>
      </c>
      <c r="I17" s="101" t="n">
        <v>0</v>
      </c>
      <c r="J17" s="101" t="n">
        <v>0</v>
      </c>
      <c r="K17" s="101" t="n">
        <v>0</v>
      </c>
      <c r="L17" s="101" t="n">
        <v>0</v>
      </c>
      <c r="M17" s="101" t="n">
        <v>0</v>
      </c>
      <c r="N17" s="101" t="n">
        <v>0</v>
      </c>
      <c r="O17" s="124" t="n">
        <v>0</v>
      </c>
      <c r="P17" s="69"/>
      <c r="Q17" s="69"/>
      <c r="R17" s="69"/>
      <c r="S17" s="69"/>
      <c r="T17" s="69"/>
      <c r="U17" s="69"/>
      <c r="V17" s="69"/>
    </row>
    <row r="18" customFormat="false" ht="15" hidden="false" customHeight="false" outlineLevel="0" collapsed="false">
      <c r="A18" s="69"/>
      <c r="B18" s="101" t="s">
        <v>151</v>
      </c>
      <c r="C18" s="102" t="s">
        <v>151</v>
      </c>
      <c r="D18" s="101" t="s">
        <v>151</v>
      </c>
      <c r="E18" s="101" t="s">
        <v>151</v>
      </c>
      <c r="F18" s="101" t="s">
        <v>151</v>
      </c>
      <c r="G18" s="101" t="s">
        <v>151</v>
      </c>
      <c r="H18" s="101" t="s">
        <v>151</v>
      </c>
      <c r="I18" s="101" t="s">
        <v>151</v>
      </c>
      <c r="J18" s="101" t="s">
        <v>151</v>
      </c>
      <c r="K18" s="101" t="s">
        <v>151</v>
      </c>
      <c r="L18" s="101" t="s">
        <v>151</v>
      </c>
      <c r="M18" s="101" t="s">
        <v>151</v>
      </c>
      <c r="N18" s="101" t="s">
        <v>151</v>
      </c>
      <c r="O18" s="124" t="s">
        <v>151</v>
      </c>
      <c r="P18" s="69"/>
      <c r="Q18" s="69"/>
      <c r="R18" s="69"/>
      <c r="S18" s="69"/>
      <c r="T18" s="69"/>
      <c r="U18" s="69"/>
      <c r="V18" s="69"/>
    </row>
    <row r="19" customFormat="false" ht="15" hidden="false" customHeight="false" outlineLevel="0" collapsed="false">
      <c r="A19" s="69"/>
      <c r="B19" s="128" t="s">
        <v>499</v>
      </c>
      <c r="C19" s="102" t="s">
        <v>151</v>
      </c>
      <c r="D19" s="101" t="s">
        <v>151</v>
      </c>
      <c r="E19" s="101" t="s">
        <v>151</v>
      </c>
      <c r="F19" s="101" t="s">
        <v>151</v>
      </c>
      <c r="G19" s="101" t="s">
        <v>151</v>
      </c>
      <c r="H19" s="101" t="s">
        <v>151</v>
      </c>
      <c r="I19" s="101" t="s">
        <v>151</v>
      </c>
      <c r="J19" s="101" t="s">
        <v>151</v>
      </c>
      <c r="K19" s="101" t="s">
        <v>151</v>
      </c>
      <c r="L19" s="101" t="s">
        <v>151</v>
      </c>
      <c r="M19" s="101" t="s">
        <v>151</v>
      </c>
      <c r="N19" s="101" t="s">
        <v>151</v>
      </c>
      <c r="O19" s="124" t="s">
        <v>151</v>
      </c>
      <c r="P19" s="69"/>
      <c r="Q19" s="69"/>
      <c r="R19" s="69"/>
      <c r="S19" s="69"/>
      <c r="T19" s="69"/>
      <c r="U19" s="69"/>
      <c r="V19" s="69"/>
    </row>
    <row r="20" customFormat="false" ht="20.25" hidden="false" customHeight="true" outlineLevel="0" collapsed="false">
      <c r="A20" s="69"/>
      <c r="B20" s="128" t="s">
        <v>500</v>
      </c>
      <c r="C20" s="102" t="s">
        <v>151</v>
      </c>
      <c r="D20" s="101" t="s">
        <v>151</v>
      </c>
      <c r="E20" s="101" t="s">
        <v>151</v>
      </c>
      <c r="F20" s="101" t="s">
        <v>151</v>
      </c>
      <c r="G20" s="101" t="s">
        <v>151</v>
      </c>
      <c r="H20" s="101" t="s">
        <v>151</v>
      </c>
      <c r="I20" s="101" t="s">
        <v>151</v>
      </c>
      <c r="J20" s="101" t="s">
        <v>151</v>
      </c>
      <c r="K20" s="101" t="s">
        <v>151</v>
      </c>
      <c r="L20" s="101" t="s">
        <v>151</v>
      </c>
      <c r="M20" s="101" t="s">
        <v>151</v>
      </c>
      <c r="N20" s="101" t="s">
        <v>151</v>
      </c>
      <c r="O20" s="124" t="s">
        <v>151</v>
      </c>
      <c r="P20" s="69"/>
      <c r="Q20" s="69"/>
      <c r="R20" s="69"/>
      <c r="S20" s="69"/>
      <c r="T20" s="69"/>
      <c r="U20" s="69"/>
      <c r="V20" s="69"/>
    </row>
    <row r="21" customFormat="false" ht="20.25" hidden="false" customHeight="true" outlineLevel="0" collapsed="false">
      <c r="A21" s="69"/>
      <c r="B21" s="101" t="s">
        <v>501</v>
      </c>
      <c r="C21" s="102" t="s">
        <v>151</v>
      </c>
      <c r="D21" s="101" t="s">
        <v>151</v>
      </c>
      <c r="E21" s="149" t="n">
        <v>51</v>
      </c>
      <c r="F21" s="149" t="n">
        <v>51</v>
      </c>
      <c r="G21" s="149" t="n">
        <v>51</v>
      </c>
      <c r="H21" s="101" t="s">
        <v>151</v>
      </c>
      <c r="I21" s="101" t="s">
        <v>151</v>
      </c>
      <c r="J21" s="101" t="s">
        <v>151</v>
      </c>
      <c r="K21" s="101" t="s">
        <v>151</v>
      </c>
      <c r="L21" s="101" t="s">
        <v>151</v>
      </c>
      <c r="M21" s="101" t="s">
        <v>151</v>
      </c>
      <c r="N21" s="101" t="s">
        <v>151</v>
      </c>
      <c r="O21" s="124" t="s">
        <v>151</v>
      </c>
      <c r="P21" s="69"/>
      <c r="Q21" s="69"/>
      <c r="R21" s="69"/>
      <c r="S21" s="69"/>
      <c r="T21" s="69"/>
      <c r="U21" s="69"/>
      <c r="V21" s="69"/>
    </row>
    <row r="22" customFormat="false" ht="20.25" hidden="false" customHeight="true" outlineLevel="0" collapsed="false">
      <c r="A22" s="69"/>
      <c r="B22" s="101" t="s">
        <v>502</v>
      </c>
      <c r="C22" s="102" t="s">
        <v>151</v>
      </c>
      <c r="D22" s="101" t="s">
        <v>151</v>
      </c>
      <c r="E22" s="149" t="n">
        <v>731.85</v>
      </c>
      <c r="F22" s="101" t="s">
        <v>151</v>
      </c>
      <c r="G22" s="101" t="s">
        <v>151</v>
      </c>
      <c r="H22" s="101" t="s">
        <v>151</v>
      </c>
      <c r="I22" s="101" t="s">
        <v>151</v>
      </c>
      <c r="J22" s="101" t="s">
        <v>151</v>
      </c>
      <c r="K22" s="101" t="s">
        <v>151</v>
      </c>
      <c r="L22" s="101" t="s">
        <v>151</v>
      </c>
      <c r="M22" s="101" t="s">
        <v>151</v>
      </c>
      <c r="N22" s="101" t="s">
        <v>151</v>
      </c>
      <c r="O22" s="124" t="s">
        <v>151</v>
      </c>
      <c r="P22" s="69"/>
      <c r="Q22" s="69"/>
      <c r="R22" s="69"/>
      <c r="S22" s="69"/>
      <c r="T22" s="69"/>
      <c r="U22" s="69"/>
      <c r="V22" s="69" t="s">
        <v>503</v>
      </c>
    </row>
    <row r="23" customFormat="false" ht="20.25" hidden="false" customHeight="true" outlineLevel="0" collapsed="false">
      <c r="A23" s="69"/>
      <c r="B23" s="101" t="s">
        <v>504</v>
      </c>
      <c r="C23" s="102" t="s">
        <v>151</v>
      </c>
      <c r="D23" s="101" t="s">
        <v>151</v>
      </c>
      <c r="E23" s="101" t="s">
        <v>151</v>
      </c>
      <c r="F23" s="149" t="n">
        <v>886</v>
      </c>
      <c r="G23" s="101" t="s">
        <v>151</v>
      </c>
      <c r="H23" s="101" t="s">
        <v>151</v>
      </c>
      <c r="I23" s="101" t="s">
        <v>151</v>
      </c>
      <c r="J23" s="101" t="s">
        <v>151</v>
      </c>
      <c r="K23" s="101" t="s">
        <v>151</v>
      </c>
      <c r="L23" s="101" t="s">
        <v>151</v>
      </c>
      <c r="M23" s="101" t="s">
        <v>151</v>
      </c>
      <c r="N23" s="101" t="s">
        <v>151</v>
      </c>
      <c r="O23" s="124" t="s">
        <v>151</v>
      </c>
      <c r="P23" s="69"/>
      <c r="Q23" s="69"/>
      <c r="R23" s="69"/>
      <c r="S23" s="69"/>
      <c r="T23" s="69"/>
      <c r="U23" s="69"/>
      <c r="V23" s="69"/>
    </row>
    <row r="24" customFormat="false" ht="15" hidden="false" customHeight="false" outlineLevel="0" collapsed="false">
      <c r="A24" s="69"/>
      <c r="B24" s="101" t="s">
        <v>151</v>
      </c>
      <c r="C24" s="102" t="s">
        <v>151</v>
      </c>
      <c r="D24" s="150" t="n">
        <v>15488.07</v>
      </c>
      <c r="E24" s="106" t="s">
        <v>151</v>
      </c>
      <c r="F24" s="149" t="n">
        <v>680.88</v>
      </c>
      <c r="G24" s="149" t="n">
        <v>680.87</v>
      </c>
      <c r="H24" s="101" t="s">
        <v>151</v>
      </c>
      <c r="I24" s="101" t="s">
        <v>151</v>
      </c>
      <c r="J24" s="101" t="s">
        <v>151</v>
      </c>
      <c r="K24" s="101" t="s">
        <v>151</v>
      </c>
      <c r="L24" s="101" t="s">
        <v>151</v>
      </c>
      <c r="M24" s="101" t="s">
        <v>151</v>
      </c>
      <c r="N24" s="101" t="s">
        <v>151</v>
      </c>
      <c r="O24" s="124" t="s">
        <v>151</v>
      </c>
      <c r="P24" s="69"/>
      <c r="Q24" s="69"/>
      <c r="R24" s="69" t="n">
        <v>-886</v>
      </c>
      <c r="S24" s="69"/>
      <c r="T24" s="69"/>
      <c r="U24" s="69"/>
      <c r="V24" s="69"/>
    </row>
    <row r="25" customFormat="false" ht="20.25" hidden="false" customHeight="true" outlineLevel="0" collapsed="false">
      <c r="A25" s="69"/>
      <c r="B25" s="101" t="s">
        <v>505</v>
      </c>
      <c r="C25" s="102" t="s">
        <v>151</v>
      </c>
      <c r="D25" s="151" t="s">
        <v>151</v>
      </c>
      <c r="E25" s="151" t="s">
        <v>151</v>
      </c>
      <c r="F25" s="152" t="s">
        <v>151</v>
      </c>
      <c r="G25" s="152" t="s">
        <v>151</v>
      </c>
      <c r="H25" s="151" t="s">
        <v>151</v>
      </c>
      <c r="I25" s="151" t="s">
        <v>151</v>
      </c>
      <c r="J25" s="151" t="s">
        <v>151</v>
      </c>
      <c r="K25" s="151" t="s">
        <v>151</v>
      </c>
      <c r="L25" s="151" t="s">
        <v>151</v>
      </c>
      <c r="M25" s="151" t="s">
        <v>151</v>
      </c>
      <c r="N25" s="151" t="s">
        <v>151</v>
      </c>
      <c r="O25" s="124" t="s">
        <v>151</v>
      </c>
      <c r="P25" s="69"/>
      <c r="Q25" s="69"/>
      <c r="R25" s="69" t="n">
        <v>-720.5203252</v>
      </c>
      <c r="S25" s="69"/>
      <c r="T25" s="69"/>
      <c r="U25" s="69"/>
      <c r="V25" s="69"/>
    </row>
    <row r="26" customFormat="false" ht="30.75" hidden="false" customHeight="true" outlineLevel="0" collapsed="false">
      <c r="A26" s="69"/>
      <c r="B26" s="128" t="s">
        <v>506</v>
      </c>
      <c r="C26" s="102" t="s">
        <v>151</v>
      </c>
      <c r="D26" s="148" t="n">
        <v>15488</v>
      </c>
      <c r="E26" s="101" t="n">
        <v>783</v>
      </c>
      <c r="F26" s="148" t="n">
        <v>1618</v>
      </c>
      <c r="G26" s="101" t="n">
        <v>732</v>
      </c>
      <c r="H26" s="101" t="s">
        <v>151</v>
      </c>
      <c r="I26" s="101" t="s">
        <v>151</v>
      </c>
      <c r="J26" s="101" t="s">
        <v>151</v>
      </c>
      <c r="K26" s="101" t="s">
        <v>151</v>
      </c>
      <c r="L26" s="101" t="s">
        <v>151</v>
      </c>
      <c r="M26" s="101" t="s">
        <v>151</v>
      </c>
      <c r="N26" s="101" t="s">
        <v>151</v>
      </c>
      <c r="O26" s="124" t="s">
        <v>151</v>
      </c>
      <c r="P26" s="69"/>
      <c r="Q26" s="69"/>
      <c r="R26" s="69"/>
      <c r="S26" s="69"/>
      <c r="T26" s="69"/>
      <c r="U26" s="69"/>
      <c r="V26" s="69"/>
    </row>
    <row r="27" customFormat="false" ht="15" hidden="false" customHeight="false" outlineLevel="0" collapsed="false">
      <c r="A27" s="69"/>
      <c r="B27" s="101" t="s">
        <v>151</v>
      </c>
      <c r="C27" s="102" t="s">
        <v>151</v>
      </c>
      <c r="D27" s="101" t="s">
        <v>151</v>
      </c>
      <c r="E27" s="101" t="s">
        <v>151</v>
      </c>
      <c r="F27" s="101" t="s">
        <v>151</v>
      </c>
      <c r="G27" s="101" t="s">
        <v>151</v>
      </c>
      <c r="H27" s="101" t="s">
        <v>151</v>
      </c>
      <c r="I27" s="101" t="s">
        <v>151</v>
      </c>
      <c r="J27" s="101" t="s">
        <v>151</v>
      </c>
      <c r="K27" s="101" t="s">
        <v>151</v>
      </c>
      <c r="L27" s="101" t="s">
        <v>151</v>
      </c>
      <c r="M27" s="101" t="s">
        <v>151</v>
      </c>
      <c r="N27" s="101" t="s">
        <v>151</v>
      </c>
      <c r="O27" s="124" t="s">
        <v>151</v>
      </c>
      <c r="P27" s="69"/>
      <c r="Q27" s="69"/>
      <c r="R27" s="69"/>
      <c r="S27" s="69"/>
      <c r="T27" s="69"/>
      <c r="U27" s="69"/>
      <c r="V27" s="69"/>
    </row>
    <row r="28" customFormat="false" ht="20.25" hidden="false" customHeight="true" outlineLevel="0" collapsed="false">
      <c r="A28" s="69"/>
      <c r="B28" s="101" t="s">
        <v>507</v>
      </c>
      <c r="C28" s="102" t="s">
        <v>151</v>
      </c>
      <c r="D28" s="101" t="s">
        <v>151</v>
      </c>
      <c r="E28" s="101" t="s">
        <v>151</v>
      </c>
      <c r="F28" s="101" t="s">
        <v>151</v>
      </c>
      <c r="G28" s="101" t="s">
        <v>151</v>
      </c>
      <c r="H28" s="101" t="s">
        <v>151</v>
      </c>
      <c r="I28" s="101" t="s">
        <v>151</v>
      </c>
      <c r="J28" s="101" t="s">
        <v>151</v>
      </c>
      <c r="K28" s="101" t="s">
        <v>151</v>
      </c>
      <c r="L28" s="101" t="s">
        <v>151</v>
      </c>
      <c r="M28" s="101" t="s">
        <v>151</v>
      </c>
      <c r="N28" s="101" t="s">
        <v>151</v>
      </c>
      <c r="O28" s="124" t="s">
        <v>151</v>
      </c>
      <c r="P28" s="69"/>
      <c r="Q28" s="69"/>
      <c r="R28" s="69"/>
      <c r="S28" s="69"/>
      <c r="T28" s="69"/>
      <c r="U28" s="69"/>
      <c r="V28" s="69"/>
    </row>
    <row r="29" customFormat="false" ht="30.75" hidden="false" customHeight="true" outlineLevel="0" collapsed="false">
      <c r="A29" s="69"/>
      <c r="B29" s="101" t="s">
        <v>508</v>
      </c>
      <c r="C29" s="102" t="s">
        <v>151</v>
      </c>
      <c r="D29" s="101" t="s">
        <v>151</v>
      </c>
      <c r="E29" s="101" t="s">
        <v>151</v>
      </c>
      <c r="F29" s="101" t="s">
        <v>151</v>
      </c>
      <c r="G29" s="101" t="s">
        <v>151</v>
      </c>
      <c r="H29" s="101" t="s">
        <v>151</v>
      </c>
      <c r="I29" s="101" t="s">
        <v>151</v>
      </c>
      <c r="J29" s="101" t="s">
        <v>151</v>
      </c>
      <c r="K29" s="101" t="s">
        <v>151</v>
      </c>
      <c r="L29" s="101" t="s">
        <v>151</v>
      </c>
      <c r="M29" s="101" t="s">
        <v>151</v>
      </c>
      <c r="N29" s="101" t="s">
        <v>151</v>
      </c>
      <c r="O29" s="124" t="s">
        <v>151</v>
      </c>
      <c r="P29" s="69"/>
      <c r="Q29" s="69"/>
      <c r="R29" s="69"/>
      <c r="S29" s="69"/>
      <c r="T29" s="69"/>
      <c r="U29" s="69"/>
      <c r="V29" s="69"/>
    </row>
    <row r="30" customFormat="false" ht="20.25" hidden="false" customHeight="true" outlineLevel="0" collapsed="false">
      <c r="A30" s="69"/>
      <c r="B30" s="128" t="s">
        <v>509</v>
      </c>
      <c r="C30" s="102" t="s">
        <v>151</v>
      </c>
      <c r="D30" s="101" t="s">
        <v>151</v>
      </c>
      <c r="E30" s="101" t="s">
        <v>151</v>
      </c>
      <c r="F30" s="101" t="s">
        <v>151</v>
      </c>
      <c r="G30" s="101" t="s">
        <v>151</v>
      </c>
      <c r="H30" s="101" t="s">
        <v>151</v>
      </c>
      <c r="I30" s="101" t="s">
        <v>151</v>
      </c>
      <c r="J30" s="101" t="s">
        <v>151</v>
      </c>
      <c r="K30" s="101" t="s">
        <v>151</v>
      </c>
      <c r="L30" s="101" t="s">
        <v>151</v>
      </c>
      <c r="M30" s="101" t="s">
        <v>151</v>
      </c>
      <c r="N30" s="101" t="s">
        <v>151</v>
      </c>
      <c r="O30" s="124" t="s">
        <v>151</v>
      </c>
      <c r="P30" s="69"/>
      <c r="Q30" s="69"/>
      <c r="R30" s="69"/>
      <c r="S30" s="69"/>
      <c r="T30" s="69"/>
      <c r="U30" s="69"/>
      <c r="V30" s="69"/>
    </row>
    <row r="31" customFormat="false" ht="15" hidden="false" customHeight="false" outlineLevel="0" collapsed="false">
      <c r="A31" s="69"/>
      <c r="B31" s="101" t="s">
        <v>151</v>
      </c>
      <c r="C31" s="102" t="s">
        <v>151</v>
      </c>
      <c r="D31" s="101" t="s">
        <v>151</v>
      </c>
      <c r="E31" s="101" t="s">
        <v>151</v>
      </c>
      <c r="F31" s="101" t="s">
        <v>151</v>
      </c>
      <c r="G31" s="101" t="s">
        <v>151</v>
      </c>
      <c r="H31" s="101" t="s">
        <v>151</v>
      </c>
      <c r="I31" s="101" t="s">
        <v>151</v>
      </c>
      <c r="J31" s="101" t="s">
        <v>151</v>
      </c>
      <c r="K31" s="101" t="s">
        <v>151</v>
      </c>
      <c r="L31" s="101" t="s">
        <v>151</v>
      </c>
      <c r="M31" s="101" t="s">
        <v>151</v>
      </c>
      <c r="N31" s="101" t="s">
        <v>151</v>
      </c>
      <c r="O31" s="124" t="s">
        <v>151</v>
      </c>
      <c r="P31" s="69"/>
      <c r="Q31" s="69"/>
      <c r="R31" s="69"/>
      <c r="S31" s="69"/>
      <c r="T31" s="69"/>
      <c r="U31" s="69"/>
      <c r="V31" s="69"/>
    </row>
    <row r="32" customFormat="false" ht="20.25" hidden="false" customHeight="true" outlineLevel="0" collapsed="false">
      <c r="A32" s="69"/>
      <c r="B32" s="101" t="s">
        <v>510</v>
      </c>
      <c r="C32" s="102" t="s">
        <v>151</v>
      </c>
      <c r="D32" s="151" t="s">
        <v>151</v>
      </c>
      <c r="E32" s="151" t="s">
        <v>151</v>
      </c>
      <c r="F32" s="151" t="s">
        <v>151</v>
      </c>
      <c r="G32" s="151" t="s">
        <v>151</v>
      </c>
      <c r="H32" s="151" t="s">
        <v>151</v>
      </c>
      <c r="I32" s="151" t="s">
        <v>151</v>
      </c>
      <c r="J32" s="152" t="s">
        <v>151</v>
      </c>
      <c r="K32" s="151" t="s">
        <v>151</v>
      </c>
      <c r="L32" s="151" t="s">
        <v>151</v>
      </c>
      <c r="M32" s="151" t="s">
        <v>151</v>
      </c>
      <c r="N32" s="151" t="s">
        <v>151</v>
      </c>
      <c r="O32" s="124" t="s">
        <v>151</v>
      </c>
      <c r="P32" s="69"/>
      <c r="Q32" s="69"/>
      <c r="R32" s="69"/>
      <c r="S32" s="69"/>
      <c r="T32" s="69"/>
      <c r="U32" s="69"/>
      <c r="V32" s="69"/>
    </row>
    <row r="33" customFormat="false" ht="20.25" hidden="false" customHeight="true" outlineLevel="0" collapsed="false">
      <c r="A33" s="69"/>
      <c r="B33" s="101" t="s">
        <v>511</v>
      </c>
      <c r="C33" s="102" t="s">
        <v>151</v>
      </c>
      <c r="D33" s="148" t="n">
        <v>4473</v>
      </c>
      <c r="E33" s="148" t="n">
        <v>4473</v>
      </c>
      <c r="F33" s="148" t="n">
        <v>4473</v>
      </c>
      <c r="G33" s="148" t="n">
        <v>14473</v>
      </c>
      <c r="H33" s="101" t="s">
        <v>151</v>
      </c>
      <c r="I33" s="101" t="s">
        <v>151</v>
      </c>
      <c r="J33" s="101" t="s">
        <v>151</v>
      </c>
      <c r="K33" s="101" t="s">
        <v>151</v>
      </c>
      <c r="L33" s="101" t="s">
        <v>151</v>
      </c>
      <c r="M33" s="101" t="s">
        <v>151</v>
      </c>
      <c r="N33" s="101" t="s">
        <v>151</v>
      </c>
      <c r="O33" s="124" t="s">
        <v>151</v>
      </c>
      <c r="P33" s="69"/>
      <c r="Q33" s="69"/>
      <c r="R33" s="69"/>
      <c r="S33" s="69"/>
      <c r="T33" s="69"/>
      <c r="U33" s="69"/>
      <c r="V33" s="69" t="s">
        <v>512</v>
      </c>
    </row>
    <row r="34" customFormat="false" ht="20.25" hidden="false" customHeight="true" outlineLevel="0" collapsed="false">
      <c r="A34" s="69"/>
      <c r="B34" s="101" t="s">
        <v>513</v>
      </c>
      <c r="C34" s="102" t="s">
        <v>151</v>
      </c>
      <c r="D34" s="148" t="n">
        <v>79200</v>
      </c>
      <c r="E34" s="148" t="n">
        <v>54953</v>
      </c>
      <c r="F34" s="148" t="n">
        <v>69875</v>
      </c>
      <c r="G34" s="148" t="n">
        <v>64226</v>
      </c>
      <c r="H34" s="101" t="s">
        <v>151</v>
      </c>
      <c r="I34" s="101" t="s">
        <v>151</v>
      </c>
      <c r="J34" s="101" t="s">
        <v>151</v>
      </c>
      <c r="K34" s="101" t="s">
        <v>151</v>
      </c>
      <c r="L34" s="101" t="s">
        <v>151</v>
      </c>
      <c r="M34" s="101" t="s">
        <v>151</v>
      </c>
      <c r="N34" s="101" t="s">
        <v>151</v>
      </c>
      <c r="O34" s="124" t="s">
        <v>151</v>
      </c>
      <c r="P34" s="69"/>
      <c r="Q34" s="69"/>
      <c r="R34" s="69"/>
      <c r="S34" s="69"/>
      <c r="T34" s="69"/>
      <c r="U34" s="69"/>
      <c r="V34" s="69"/>
    </row>
    <row r="35" customFormat="false" ht="20.25" hidden="false" customHeight="true" outlineLevel="0" collapsed="false">
      <c r="A35" s="69"/>
      <c r="B35" s="128" t="s">
        <v>510</v>
      </c>
      <c r="C35" s="102" t="s">
        <v>151</v>
      </c>
      <c r="D35" s="148" t="n">
        <v>83673</v>
      </c>
      <c r="E35" s="148" t="n">
        <v>59426</v>
      </c>
      <c r="F35" s="148" t="n">
        <v>74348</v>
      </c>
      <c r="G35" s="148" t="n">
        <v>78699</v>
      </c>
      <c r="H35" s="101" t="s">
        <v>151</v>
      </c>
      <c r="I35" s="101" t="s">
        <v>151</v>
      </c>
      <c r="J35" s="101" t="s">
        <v>151</v>
      </c>
      <c r="K35" s="101" t="s">
        <v>151</v>
      </c>
      <c r="L35" s="101" t="s">
        <v>151</v>
      </c>
      <c r="M35" s="101" t="s">
        <v>151</v>
      </c>
      <c r="N35" s="101" t="s">
        <v>151</v>
      </c>
      <c r="O35" s="124" t="s">
        <v>151</v>
      </c>
      <c r="P35" s="69"/>
      <c r="Q35" s="69"/>
      <c r="R35" s="69"/>
      <c r="S35" s="69"/>
      <c r="T35" s="69"/>
      <c r="U35" s="69"/>
      <c r="V35" s="69"/>
    </row>
    <row r="36" customFormat="false" ht="51" hidden="false" customHeight="true" outlineLevel="0" collapsed="false">
      <c r="A36" s="69"/>
      <c r="B36" s="128" t="s">
        <v>514</v>
      </c>
      <c r="C36" s="102" t="s">
        <v>151</v>
      </c>
      <c r="D36" s="153" t="n">
        <v>83673</v>
      </c>
      <c r="E36" s="153" t="n">
        <v>59426</v>
      </c>
      <c r="F36" s="153" t="n">
        <v>75234</v>
      </c>
      <c r="G36" s="153" t="n">
        <v>79585</v>
      </c>
      <c r="H36" s="124" t="s">
        <v>151</v>
      </c>
      <c r="I36" s="124" t="s">
        <v>151</v>
      </c>
      <c r="J36" s="124" t="s">
        <v>151</v>
      </c>
      <c r="K36" s="124" t="s">
        <v>151</v>
      </c>
      <c r="L36" s="124" t="s">
        <v>151</v>
      </c>
      <c r="M36" s="124" t="s">
        <v>151</v>
      </c>
      <c r="N36" s="124" t="s">
        <v>151</v>
      </c>
      <c r="O36" s="124" t="s">
        <v>151</v>
      </c>
      <c r="P36" s="69"/>
      <c r="Q36" s="69"/>
      <c r="R36" s="69"/>
      <c r="S36" s="69"/>
      <c r="T36" s="69"/>
      <c r="U36" s="69"/>
      <c r="V36" s="69"/>
    </row>
    <row r="37" customFormat="false" ht="15" hidden="false" customHeight="false" outlineLevel="0" collapsed="false">
      <c r="A37" s="69"/>
      <c r="B37" s="101" t="s">
        <v>151</v>
      </c>
      <c r="C37" s="102" t="s">
        <v>151</v>
      </c>
      <c r="D37" s="152" t="s">
        <v>151</v>
      </c>
      <c r="E37" s="152" t="s">
        <v>151</v>
      </c>
      <c r="F37" s="152" t="s">
        <v>151</v>
      </c>
      <c r="G37" s="152" t="s">
        <v>151</v>
      </c>
      <c r="H37" s="152" t="s">
        <v>151</v>
      </c>
      <c r="I37" s="152" t="s">
        <v>151</v>
      </c>
      <c r="J37" s="152" t="s">
        <v>151</v>
      </c>
      <c r="K37" s="152" t="s">
        <v>151</v>
      </c>
      <c r="L37" s="152" t="s">
        <v>151</v>
      </c>
      <c r="M37" s="152" t="s">
        <v>151</v>
      </c>
      <c r="N37" s="152" t="s">
        <v>151</v>
      </c>
      <c r="O37" s="101" t="s">
        <v>151</v>
      </c>
      <c r="P37" s="69"/>
      <c r="Q37" s="69"/>
      <c r="R37" s="69"/>
      <c r="S37" s="69"/>
      <c r="T37" s="69"/>
      <c r="U37" s="69"/>
      <c r="V37" s="69"/>
    </row>
    <row r="38" customFormat="false" ht="15" hidden="false" customHeight="false" outlineLevel="0" collapsed="false">
      <c r="A38" s="69"/>
      <c r="B38" s="69"/>
      <c r="C38" s="69"/>
      <c r="D38" s="69" t="n">
        <v>0</v>
      </c>
      <c r="E38" s="69" t="n">
        <v>0</v>
      </c>
      <c r="F38" s="69" t="n">
        <v>0</v>
      </c>
      <c r="G38" s="69" t="n">
        <v>0</v>
      </c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</row>
    <row r="39" customFormat="false" ht="15" hidden="false" customHeight="false" outlineLevel="0" collapsed="false">
      <c r="A39" s="69"/>
      <c r="B39" s="78"/>
      <c r="C39" s="69"/>
      <c r="D39" s="69"/>
      <c r="E39" s="69"/>
      <c r="F39" s="69"/>
      <c r="G39" s="69" t="n">
        <v>0</v>
      </c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</row>
    <row r="40" customFormat="false" ht="15" hidden="false" customHeight="false" outlineLevel="0" collapsed="false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</row>
    <row r="41" customFormat="false" ht="15" hidden="false" customHeight="false" outlineLevel="0" collapsed="false">
      <c r="A41" s="69"/>
      <c r="B41" s="69"/>
      <c r="C41" s="69" t="n">
        <v>0</v>
      </c>
      <c r="D41" s="69" t="n">
        <v>-18163.21</v>
      </c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</row>
    <row r="42" customFormat="false" ht="15" hidden="false" customHeight="false" outlineLevel="0" collapsed="false">
      <c r="A42" s="69"/>
      <c r="B42" s="69"/>
      <c r="C42" s="69"/>
      <c r="D42" s="154" t="n">
        <v>101836</v>
      </c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</row>
    <row r="43" customFormat="false" ht="15" hidden="false" customHeight="false" outlineLevel="0" collapsed="false">
      <c r="A43" s="69"/>
      <c r="B43" s="69"/>
      <c r="C43" s="69"/>
      <c r="D43" s="154" t="n">
        <v>86348</v>
      </c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</row>
    <row r="44" customFormat="false" ht="15" hidden="false" customHeight="false" outlineLevel="0" collapsed="false">
      <c r="A44" s="69"/>
      <c r="B44" s="69"/>
      <c r="C44" s="69"/>
      <c r="D44" s="69"/>
      <c r="E44" s="69"/>
      <c r="F44" s="155" t="n">
        <v>78614.76</v>
      </c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</row>
    <row r="45" customFormat="false" ht="15" hidden="false" customHeight="false" outlineLevel="0" collapsed="false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</row>
    <row r="46" customFormat="false" ht="15" hidden="false" customHeight="false" outlineLevel="0" collapsed="false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</row>
    <row r="47" customFormat="false" ht="15" hidden="false" customHeight="false" outlineLevel="0" collapsed="false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</row>
    <row r="48" customFormat="false" ht="15" hidden="false" customHeight="false" outlineLevel="0" collapsed="false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</row>
    <row r="49" customFormat="false" ht="15" hidden="false" customHeight="false" outlineLevel="0" collapsed="false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</row>
    <row r="50" customFormat="false" ht="15" hidden="false" customHeight="false" outlineLevel="0" collapsed="false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</row>
    <row r="51" customFormat="false" ht="15" hidden="false" customHeight="false" outlineLevel="0" collapsed="false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</row>
    <row r="52" customFormat="false" ht="15" hidden="false" customHeight="false" outlineLevel="0" collapsed="false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</row>
    <row r="53" customFormat="false" ht="15" hidden="false" customHeight="false" outlineLevel="0" collapsed="false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</row>
    <row r="54" customFormat="false" ht="15" hidden="false" customHeight="false" outlineLevel="0" collapsed="false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</row>
    <row r="55" customFormat="false" ht="15" hidden="false" customHeight="false" outlineLevel="0" collapsed="false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</row>
    <row r="56" customFormat="false" ht="15" hidden="false" customHeight="false" outlineLevel="0" collapsed="false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</row>
    <row r="57" customFormat="false" ht="15" hidden="false" customHeight="false" outlineLevel="0" collapsed="false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</row>
    <row r="58" customFormat="false" ht="15" hidden="false" customHeight="false" outlineLevel="0" collapsed="false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</row>
    <row r="59" customFormat="false" ht="15" hidden="false" customHeight="false" outlineLevel="0" collapsed="false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</row>
    <row r="60" customFormat="false" ht="15" hidden="false" customHeight="false" outlineLevel="0" collapsed="false">
      <c r="A60" s="69"/>
      <c r="B60" s="156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</row>
    <row r="61" customFormat="false" ht="15" hidden="false" customHeight="false" outlineLevel="0" collapsed="false">
      <c r="A61" s="69"/>
      <c r="B61" s="17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</row>
    <row r="62" customFormat="false" ht="15" hidden="false" customHeight="false" outlineLevel="0" collapsed="false">
      <c r="A62" s="69"/>
      <c r="B62" s="17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</row>
    <row r="63" customFormat="false" ht="15" hidden="false" customHeight="false" outlineLevel="0" collapsed="false">
      <c r="A63" s="69"/>
      <c r="B63" s="17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</row>
    <row r="64" customFormat="false" ht="15" hidden="false" customHeight="false" outlineLevel="0" collapsed="false">
      <c r="A64" s="69"/>
      <c r="B64" s="17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</row>
    <row r="65" customFormat="false" ht="15" hidden="false" customHeight="false" outlineLevel="0" collapsed="false">
      <c r="A65" s="69"/>
      <c r="B65" s="17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</row>
    <row r="66" customFormat="false" ht="15" hidden="false" customHeight="false" outlineLevel="0" collapsed="false">
      <c r="A66" s="69"/>
      <c r="B66" s="17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</row>
    <row r="67" customFormat="false" ht="15" hidden="false" customHeight="false" outlineLevel="0" collapsed="false">
      <c r="A67" s="69"/>
      <c r="B67" s="17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</row>
    <row r="68" customFormat="false" ht="15" hidden="false" customHeight="false" outlineLevel="0" collapsed="false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</row>
    <row r="69" customFormat="false" ht="15" hidden="false" customHeight="false" outlineLevel="0" collapsed="false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</row>
    <row r="70" customFormat="false" ht="15" hidden="false" customHeight="false" outlineLevel="0" collapsed="false">
      <c r="A70" s="78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</row>
  </sheetData>
  <mergeCells count="2">
    <mergeCell ref="B1:O1"/>
    <mergeCell ref="B2:O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8" hidden="false" customHeight="true" outlineLevel="0" collapsed="false">
      <c r="A1" s="17"/>
      <c r="B1" s="96" t="s">
        <v>363</v>
      </c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17"/>
      <c r="R1" s="17"/>
      <c r="S1" s="17"/>
      <c r="T1" s="17"/>
      <c r="U1" s="17"/>
    </row>
    <row r="2" customFormat="false" ht="18" hidden="false" customHeight="true" outlineLevel="0" collapsed="false">
      <c r="A2" s="17"/>
      <c r="B2" s="96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17"/>
      <c r="R2" s="17"/>
      <c r="S2" s="17"/>
      <c r="T2" s="17"/>
      <c r="U2" s="17"/>
    </row>
    <row r="3" customFormat="false" ht="15" hidden="false" customHeight="false" outlineLevel="0" collapsed="false">
      <c r="A3" s="17"/>
      <c r="B3" s="97"/>
      <c r="C3" s="9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</row>
    <row r="4" customFormat="false" ht="15" hidden="false" customHeight="false" outlineLevel="0" collapsed="false">
      <c r="A4" s="17"/>
      <c r="B4" s="97"/>
      <c r="C4" s="97"/>
      <c r="D4" s="97"/>
      <c r="E4" s="97" t="n">
        <v>0</v>
      </c>
      <c r="F4" s="97" t="n">
        <v>0</v>
      </c>
      <c r="G4" s="97" t="n">
        <v>0</v>
      </c>
      <c r="H4" s="97" t="n">
        <v>0</v>
      </c>
      <c r="I4" s="97" t="n">
        <v>0</v>
      </c>
      <c r="J4" s="97" t="n">
        <v>0</v>
      </c>
      <c r="K4" s="97" t="n">
        <v>0</v>
      </c>
      <c r="L4" s="97" t="n">
        <v>0</v>
      </c>
      <c r="M4" s="97" t="n">
        <v>0</v>
      </c>
      <c r="N4" s="97" t="n">
        <v>0</v>
      </c>
      <c r="O4" s="97" t="n">
        <v>0</v>
      </c>
      <c r="P4" s="17"/>
      <c r="Q4" s="17"/>
      <c r="R4" s="17"/>
      <c r="S4" s="17"/>
      <c r="T4" s="17"/>
      <c r="U4" s="17"/>
    </row>
    <row r="5" customFormat="false" ht="15" hidden="false" customHeight="false" outlineLevel="0" collapsed="false">
      <c r="A5" s="69"/>
      <c r="B5" s="78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17"/>
      <c r="S5" s="17"/>
      <c r="T5" s="17"/>
      <c r="U5" s="17"/>
    </row>
    <row r="6" customFormat="false" ht="20.25" hidden="false" customHeight="true" outlineLevel="0" collapsed="false">
      <c r="A6" s="69"/>
      <c r="B6" s="98" t="s">
        <v>364</v>
      </c>
      <c r="C6" s="98" t="s">
        <v>365</v>
      </c>
      <c r="D6" s="99" t="n">
        <v>46047</v>
      </c>
      <c r="E6" s="99" t="n">
        <v>46078</v>
      </c>
      <c r="F6" s="99" t="n">
        <v>46106</v>
      </c>
      <c r="G6" s="99" t="n">
        <v>46137</v>
      </c>
      <c r="H6" s="99" t="n">
        <v>46167</v>
      </c>
      <c r="I6" s="99" t="n">
        <v>46198</v>
      </c>
      <c r="J6" s="99" t="n">
        <v>46228</v>
      </c>
      <c r="K6" s="99" t="n">
        <v>46259</v>
      </c>
      <c r="L6" s="99" t="n">
        <v>46290</v>
      </c>
      <c r="M6" s="99" t="n">
        <v>46320</v>
      </c>
      <c r="N6" s="99" t="n">
        <v>46351</v>
      </c>
      <c r="O6" s="99" t="n">
        <v>46381</v>
      </c>
      <c r="P6" s="99" t="n">
        <v>46048</v>
      </c>
      <c r="Q6" s="99" t="n">
        <v>46079</v>
      </c>
      <c r="R6" s="99" t="n">
        <v>46107</v>
      </c>
      <c r="S6" s="99" t="n">
        <v>46138</v>
      </c>
      <c r="T6" s="98" t="s">
        <v>366</v>
      </c>
      <c r="U6" s="98" t="s">
        <v>367</v>
      </c>
    </row>
    <row r="7" customFormat="false" ht="15" hidden="false" customHeight="false" outlineLevel="0" collapsed="false">
      <c r="A7" s="69"/>
      <c r="B7" s="101" t="s">
        <v>214</v>
      </c>
      <c r="C7" s="102" t="s">
        <v>151</v>
      </c>
      <c r="D7" s="101" t="s">
        <v>151</v>
      </c>
      <c r="E7" s="101" t="s">
        <v>151</v>
      </c>
      <c r="F7" s="101" t="s">
        <v>151</v>
      </c>
      <c r="G7" s="101" t="s">
        <v>151</v>
      </c>
      <c r="H7" s="101" t="s">
        <v>151</v>
      </c>
      <c r="I7" s="148" t="n">
        <v>1595</v>
      </c>
      <c r="J7" s="101" t="s">
        <v>151</v>
      </c>
      <c r="K7" s="101" t="s">
        <v>151</v>
      </c>
      <c r="L7" s="101" t="s">
        <v>151</v>
      </c>
      <c r="M7" s="101" t="s">
        <v>151</v>
      </c>
      <c r="N7" s="101" t="n">
        <v>615</v>
      </c>
      <c r="O7" s="101" t="s">
        <v>151</v>
      </c>
      <c r="P7" s="103" t="s">
        <v>151</v>
      </c>
      <c r="Q7" s="103" t="s">
        <v>151</v>
      </c>
      <c r="R7" s="104" t="s">
        <v>151</v>
      </c>
      <c r="S7" s="105" t="s">
        <v>151</v>
      </c>
      <c r="T7" s="101" t="s">
        <v>151</v>
      </c>
      <c r="U7" s="101" t="s">
        <v>151</v>
      </c>
    </row>
    <row r="8" customFormat="false" ht="15" hidden="false" customHeight="false" outlineLevel="0" collapsed="false">
      <c r="A8" s="69"/>
      <c r="B8" s="101" t="s">
        <v>369</v>
      </c>
      <c r="C8" s="102" t="s">
        <v>151</v>
      </c>
      <c r="D8" s="101" t="s">
        <v>151</v>
      </c>
      <c r="E8" s="101" t="s">
        <v>151</v>
      </c>
      <c r="F8" s="101" t="s">
        <v>151</v>
      </c>
      <c r="G8" s="101" t="s">
        <v>151</v>
      </c>
      <c r="H8" s="101" t="s">
        <v>151</v>
      </c>
      <c r="I8" s="148" t="n">
        <v>5676</v>
      </c>
      <c r="J8" s="101" t="s">
        <v>151</v>
      </c>
      <c r="K8" s="148" t="n">
        <v>3137</v>
      </c>
      <c r="L8" s="101" t="s">
        <v>151</v>
      </c>
      <c r="M8" s="101" t="s">
        <v>151</v>
      </c>
      <c r="N8" s="101" t="s">
        <v>151</v>
      </c>
      <c r="O8" s="101" t="s">
        <v>151</v>
      </c>
      <c r="P8" s="103" t="s">
        <v>151</v>
      </c>
      <c r="Q8" s="103" t="s">
        <v>151</v>
      </c>
      <c r="R8" s="108" t="n">
        <v>3136.5</v>
      </c>
      <c r="S8" s="105" t="s">
        <v>151</v>
      </c>
      <c r="T8" s="101" t="s">
        <v>151</v>
      </c>
      <c r="U8" s="101" t="s">
        <v>151</v>
      </c>
    </row>
    <row r="9" customFormat="false" ht="15" hidden="false" customHeight="false" outlineLevel="0" collapsed="false">
      <c r="A9" s="69"/>
      <c r="B9" s="101" t="s">
        <v>370</v>
      </c>
      <c r="C9" s="102" t="s">
        <v>151</v>
      </c>
      <c r="D9" s="148" t="n">
        <v>25092</v>
      </c>
      <c r="E9" s="101" t="n">
        <v>123</v>
      </c>
      <c r="F9" s="101" t="s">
        <v>151</v>
      </c>
      <c r="G9" s="148" t="n">
        <v>9016</v>
      </c>
      <c r="H9" s="148" t="n">
        <v>1089</v>
      </c>
      <c r="I9" s="148" t="n">
        <v>51617</v>
      </c>
      <c r="J9" s="101" t="s">
        <v>151</v>
      </c>
      <c r="K9" s="148" t="n">
        <v>4224</v>
      </c>
      <c r="L9" s="148" t="n">
        <v>7319</v>
      </c>
      <c r="M9" s="148" t="n">
        <v>18647</v>
      </c>
      <c r="N9" s="101" t="s">
        <v>151</v>
      </c>
      <c r="O9" s="148" t="n">
        <v>23598</v>
      </c>
      <c r="P9" s="103" t="s">
        <v>151</v>
      </c>
      <c r="Q9" s="103" t="s">
        <v>151</v>
      </c>
      <c r="R9" s="108" t="n">
        <v>22145.54</v>
      </c>
      <c r="S9" s="110" t="n">
        <v>1119.3</v>
      </c>
      <c r="T9" s="101" t="s">
        <v>151</v>
      </c>
      <c r="U9" s="101" t="s">
        <v>151</v>
      </c>
    </row>
    <row r="10" customFormat="false" ht="15" hidden="false" customHeight="false" outlineLevel="0" collapsed="false">
      <c r="A10" s="69"/>
      <c r="B10" s="101" t="s">
        <v>371</v>
      </c>
      <c r="C10" s="102" t="s">
        <v>151</v>
      </c>
      <c r="D10" s="152" t="s">
        <v>151</v>
      </c>
      <c r="E10" s="151" t="n">
        <v>164</v>
      </c>
      <c r="F10" s="151" t="s">
        <v>151</v>
      </c>
      <c r="G10" s="151" t="s">
        <v>151</v>
      </c>
      <c r="H10" s="151" t="s">
        <v>151</v>
      </c>
      <c r="I10" s="151" t="s">
        <v>151</v>
      </c>
      <c r="J10" s="151" t="s">
        <v>151</v>
      </c>
      <c r="K10" s="151" t="s">
        <v>151</v>
      </c>
      <c r="L10" s="151" t="s">
        <v>151</v>
      </c>
      <c r="M10" s="151" t="s">
        <v>151</v>
      </c>
      <c r="N10" s="151" t="s">
        <v>151</v>
      </c>
      <c r="O10" s="151" t="s">
        <v>151</v>
      </c>
      <c r="P10" s="108" t="n">
        <v>1353</v>
      </c>
      <c r="Q10" s="103"/>
      <c r="R10" s="103" t="s">
        <v>151</v>
      </c>
      <c r="S10" s="105" t="s">
        <v>151</v>
      </c>
      <c r="T10" s="101" t="s">
        <v>151</v>
      </c>
      <c r="U10" s="101" t="s">
        <v>151</v>
      </c>
    </row>
    <row r="11" customFormat="false" ht="15" hidden="false" customHeight="false" outlineLevel="0" collapsed="false">
      <c r="A11" s="69"/>
      <c r="B11" s="101" t="s">
        <v>372</v>
      </c>
      <c r="C11" s="102" t="s">
        <v>151</v>
      </c>
      <c r="D11" s="101" t="s">
        <v>151</v>
      </c>
      <c r="E11" s="101" t="s">
        <v>151</v>
      </c>
      <c r="F11" s="101" t="s">
        <v>151</v>
      </c>
      <c r="G11" s="101" t="s">
        <v>151</v>
      </c>
      <c r="H11" s="101" t="s">
        <v>151</v>
      </c>
      <c r="I11" s="101" t="n">
        <v>462</v>
      </c>
      <c r="J11" s="148" t="n">
        <v>21772</v>
      </c>
      <c r="K11" s="148" t="n">
        <v>7740</v>
      </c>
      <c r="L11" s="101" t="s">
        <v>151</v>
      </c>
      <c r="M11" s="148" t="n">
        <v>20732</v>
      </c>
      <c r="N11" s="148" t="n">
        <v>50000</v>
      </c>
      <c r="O11" s="148" t="n">
        <v>3929</v>
      </c>
      <c r="P11" s="108" t="n">
        <v>3678.93</v>
      </c>
      <c r="Q11" s="103" t="s">
        <v>151</v>
      </c>
      <c r="R11" s="111" t="s">
        <v>151</v>
      </c>
      <c r="S11" s="105" t="s">
        <v>151</v>
      </c>
      <c r="T11" s="101" t="s">
        <v>151</v>
      </c>
      <c r="U11" s="101" t="s">
        <v>151</v>
      </c>
    </row>
    <row r="12" customFormat="false" ht="15" hidden="false" customHeight="false" outlineLevel="0" collapsed="false">
      <c r="A12" s="69"/>
      <c r="B12" s="101" t="s">
        <v>70</v>
      </c>
      <c r="C12" s="102" t="s">
        <v>151</v>
      </c>
      <c r="D12" s="151" t="s">
        <v>151</v>
      </c>
      <c r="E12" s="151" t="n">
        <v>164</v>
      </c>
      <c r="F12" s="151" t="s">
        <v>151</v>
      </c>
      <c r="G12" s="151" t="s">
        <v>151</v>
      </c>
      <c r="H12" s="151" t="s">
        <v>151</v>
      </c>
      <c r="I12" s="151" t="s">
        <v>151</v>
      </c>
      <c r="J12" s="151" t="s">
        <v>151</v>
      </c>
      <c r="K12" s="151" t="s">
        <v>151</v>
      </c>
      <c r="L12" s="151" t="s">
        <v>151</v>
      </c>
      <c r="M12" s="151" t="s">
        <v>151</v>
      </c>
      <c r="N12" s="151" t="s">
        <v>151</v>
      </c>
      <c r="O12" s="151" t="s">
        <v>151</v>
      </c>
      <c r="P12" s="103" t="s">
        <v>151</v>
      </c>
      <c r="Q12" s="103" t="s">
        <v>151</v>
      </c>
      <c r="R12" s="112" t="n">
        <v>1845</v>
      </c>
      <c r="S12" s="105" t="s">
        <v>151</v>
      </c>
      <c r="T12" s="101" t="s">
        <v>151</v>
      </c>
      <c r="U12" s="101" t="s">
        <v>151</v>
      </c>
    </row>
    <row r="13" customFormat="false" ht="15" hidden="false" customHeight="false" outlineLevel="0" collapsed="false">
      <c r="A13" s="69"/>
      <c r="B13" s="101" t="s">
        <v>373</v>
      </c>
      <c r="C13" s="102" t="s">
        <v>151</v>
      </c>
      <c r="D13" s="157" t="s">
        <v>151</v>
      </c>
      <c r="E13" s="101" t="s">
        <v>151</v>
      </c>
      <c r="F13" s="148" t="n">
        <v>16820</v>
      </c>
      <c r="G13" s="101" t="s">
        <v>151</v>
      </c>
      <c r="H13" s="101" t="s">
        <v>151</v>
      </c>
      <c r="I13" s="101" t="s">
        <v>151</v>
      </c>
      <c r="J13" s="101" t="s">
        <v>151</v>
      </c>
      <c r="K13" s="148" t="n">
        <v>16820</v>
      </c>
      <c r="L13" s="101" t="s">
        <v>151</v>
      </c>
      <c r="M13" s="101" t="s">
        <v>151</v>
      </c>
      <c r="N13" s="101" t="s">
        <v>151</v>
      </c>
      <c r="O13" s="101" t="s">
        <v>151</v>
      </c>
      <c r="P13" s="103" t="s">
        <v>151</v>
      </c>
      <c r="Q13" s="111" t="s">
        <v>151</v>
      </c>
      <c r="R13" s="111" t="s">
        <v>151</v>
      </c>
      <c r="S13" s="105" t="s">
        <v>151</v>
      </c>
      <c r="T13" s="101" t="s">
        <v>151</v>
      </c>
      <c r="U13" s="101" t="s">
        <v>151</v>
      </c>
    </row>
    <row r="14" customFormat="false" ht="15" hidden="false" customHeight="false" outlineLevel="0" collapsed="false">
      <c r="A14" s="69"/>
      <c r="B14" s="101" t="s">
        <v>374</v>
      </c>
      <c r="C14" s="102" t="s">
        <v>151</v>
      </c>
      <c r="D14" s="101" t="s">
        <v>151</v>
      </c>
      <c r="E14" s="157" t="s">
        <v>151</v>
      </c>
      <c r="F14" s="101" t="s">
        <v>151</v>
      </c>
      <c r="G14" s="101" t="s">
        <v>151</v>
      </c>
      <c r="H14" s="101" t="s">
        <v>151</v>
      </c>
      <c r="I14" s="101" t="s">
        <v>151</v>
      </c>
      <c r="J14" s="101" t="s">
        <v>151</v>
      </c>
      <c r="K14" s="101" t="s">
        <v>151</v>
      </c>
      <c r="L14" s="101" t="n">
        <v>13</v>
      </c>
      <c r="M14" s="101" t="s">
        <v>151</v>
      </c>
      <c r="N14" s="101" t="n">
        <v>22</v>
      </c>
      <c r="O14" s="101" t="s">
        <v>151</v>
      </c>
      <c r="P14" s="104" t="s">
        <v>151</v>
      </c>
      <c r="Q14" s="103" t="s">
        <v>151</v>
      </c>
      <c r="R14" s="103" t="s">
        <v>151</v>
      </c>
      <c r="S14" s="105" t="s">
        <v>151</v>
      </c>
      <c r="T14" s="101" t="s">
        <v>151</v>
      </c>
      <c r="U14" s="101" t="s">
        <v>151</v>
      </c>
    </row>
    <row r="15" customFormat="false" ht="20.25" hidden="false" customHeight="true" outlineLevel="0" collapsed="false">
      <c r="A15" s="69"/>
      <c r="B15" s="101" t="s">
        <v>375</v>
      </c>
      <c r="C15" s="102" t="s">
        <v>151</v>
      </c>
      <c r="D15" s="101" t="s">
        <v>151</v>
      </c>
      <c r="E15" s="101" t="n">
        <v>41</v>
      </c>
      <c r="F15" s="101" t="s">
        <v>151</v>
      </c>
      <c r="G15" s="101" t="s">
        <v>151</v>
      </c>
      <c r="H15" s="101" t="s">
        <v>151</v>
      </c>
      <c r="I15" s="101" t="s">
        <v>151</v>
      </c>
      <c r="J15" s="101" t="s">
        <v>151</v>
      </c>
      <c r="K15" s="101" t="s">
        <v>151</v>
      </c>
      <c r="L15" s="101" t="s">
        <v>151</v>
      </c>
      <c r="M15" s="101" t="s">
        <v>151</v>
      </c>
      <c r="N15" s="101" t="s">
        <v>151</v>
      </c>
      <c r="O15" s="101" t="s">
        <v>151</v>
      </c>
      <c r="P15" s="103" t="s">
        <v>151</v>
      </c>
      <c r="Q15" s="103" t="s">
        <v>151</v>
      </c>
      <c r="R15" s="111" t="s">
        <v>151</v>
      </c>
      <c r="S15" s="105" t="s">
        <v>151</v>
      </c>
      <c r="T15" s="101" t="s">
        <v>151</v>
      </c>
      <c r="U15" s="101" t="s">
        <v>151</v>
      </c>
    </row>
    <row r="16" customFormat="false" ht="20.25" hidden="false" customHeight="true" outlineLevel="0" collapsed="false">
      <c r="A16" s="69"/>
      <c r="B16" s="115" t="s">
        <v>376</v>
      </c>
      <c r="C16" s="116" t="s">
        <v>151</v>
      </c>
      <c r="D16" s="153" t="n">
        <v>25092</v>
      </c>
      <c r="E16" s="124" t="n">
        <v>164</v>
      </c>
      <c r="F16" s="153" t="n">
        <v>16820</v>
      </c>
      <c r="G16" s="153" t="n">
        <v>9016</v>
      </c>
      <c r="H16" s="153" t="n">
        <v>1089</v>
      </c>
      <c r="I16" s="153" t="n">
        <v>59351</v>
      </c>
      <c r="J16" s="153" t="n">
        <v>21772</v>
      </c>
      <c r="K16" s="153" t="n">
        <v>31920</v>
      </c>
      <c r="L16" s="153" t="n">
        <v>7332</v>
      </c>
      <c r="M16" s="153" t="n">
        <v>39378</v>
      </c>
      <c r="N16" s="153" t="n">
        <v>50637</v>
      </c>
      <c r="O16" s="153" t="n">
        <v>27526</v>
      </c>
      <c r="P16" s="117" t="n">
        <v>5031.93</v>
      </c>
      <c r="Q16" s="107" t="s">
        <v>515</v>
      </c>
      <c r="R16" s="117" t="n">
        <v>27127.04</v>
      </c>
      <c r="S16" s="117" t="n">
        <v>1119.3</v>
      </c>
      <c r="T16" s="107" t="s">
        <v>151</v>
      </c>
      <c r="U16" s="107" t="s">
        <v>151</v>
      </c>
    </row>
    <row r="17" customFormat="false" ht="15" hidden="false" customHeight="false" outlineLevel="0" collapsed="false">
      <c r="A17" s="69"/>
      <c r="B17" s="119" t="s">
        <v>151</v>
      </c>
      <c r="C17" s="120" t="s">
        <v>151</v>
      </c>
      <c r="D17" s="120" t="s">
        <v>151</v>
      </c>
      <c r="E17" s="120" t="s">
        <v>151</v>
      </c>
      <c r="F17" s="120" t="s">
        <v>151</v>
      </c>
      <c r="G17" s="120" t="s">
        <v>151</v>
      </c>
      <c r="H17" s="120" t="s">
        <v>151</v>
      </c>
      <c r="I17" s="120" t="s">
        <v>151</v>
      </c>
      <c r="J17" s="120" t="s">
        <v>151</v>
      </c>
      <c r="K17" s="120" t="s">
        <v>151</v>
      </c>
      <c r="L17" s="120" t="s">
        <v>151</v>
      </c>
      <c r="M17" s="120" t="s">
        <v>151</v>
      </c>
      <c r="N17" s="120" t="s">
        <v>151</v>
      </c>
      <c r="O17" s="120" t="s">
        <v>151</v>
      </c>
      <c r="P17" s="121" t="s">
        <v>151</v>
      </c>
      <c r="Q17" s="121" t="s">
        <v>151</v>
      </c>
      <c r="R17" s="69"/>
      <c r="S17" s="69"/>
      <c r="T17" s="69"/>
      <c r="U17" s="69"/>
    </row>
    <row r="18" customFormat="false" ht="15" hidden="false" customHeight="false" outlineLevel="0" collapsed="false">
      <c r="A18" s="69"/>
      <c r="B18" s="98" t="s">
        <v>364</v>
      </c>
      <c r="C18" s="98" t="s">
        <v>365</v>
      </c>
      <c r="D18" s="98" t="s">
        <v>379</v>
      </c>
      <c r="E18" s="98" t="s">
        <v>380</v>
      </c>
      <c r="F18" s="98" t="s">
        <v>381</v>
      </c>
      <c r="G18" s="98" t="s">
        <v>382</v>
      </c>
      <c r="H18" s="98" t="s">
        <v>383</v>
      </c>
      <c r="I18" s="98" t="s">
        <v>384</v>
      </c>
      <c r="J18" s="98" t="s">
        <v>385</v>
      </c>
      <c r="K18" s="98" t="s">
        <v>386</v>
      </c>
      <c r="L18" s="98" t="s">
        <v>387</v>
      </c>
      <c r="M18" s="98" t="s">
        <v>388</v>
      </c>
      <c r="N18" s="98" t="s">
        <v>389</v>
      </c>
      <c r="O18" s="98" t="s">
        <v>390</v>
      </c>
      <c r="P18" s="98" t="s">
        <v>391</v>
      </c>
      <c r="Q18" s="98" t="s">
        <v>516</v>
      </c>
      <c r="R18" s="98" t="s">
        <v>517</v>
      </c>
      <c r="S18" s="98" t="s">
        <v>518</v>
      </c>
      <c r="T18" s="100" t="s">
        <v>151</v>
      </c>
      <c r="U18" s="100" t="s">
        <v>151</v>
      </c>
    </row>
    <row r="19" customFormat="false" ht="20.25" hidden="false" customHeight="true" outlineLevel="0" collapsed="false">
      <c r="A19" s="69"/>
      <c r="B19" s="101" t="s">
        <v>393</v>
      </c>
      <c r="C19" s="102" t="s">
        <v>151</v>
      </c>
      <c r="D19" s="101" t="s">
        <v>151</v>
      </c>
      <c r="E19" s="101" t="s">
        <v>151</v>
      </c>
      <c r="F19" s="101" t="s">
        <v>151</v>
      </c>
      <c r="G19" s="148" t="n">
        <v>2000</v>
      </c>
      <c r="H19" s="148" t="n">
        <v>3085</v>
      </c>
      <c r="I19" s="148" t="n">
        <v>1295</v>
      </c>
      <c r="J19" s="148" t="n">
        <v>2472</v>
      </c>
      <c r="K19" s="147"/>
      <c r="L19" s="101" t="s">
        <v>151</v>
      </c>
      <c r="M19" s="101" t="s">
        <v>151</v>
      </c>
      <c r="N19" s="101" t="s">
        <v>151</v>
      </c>
      <c r="O19" s="101" t="s">
        <v>151</v>
      </c>
      <c r="P19" s="105" t="s">
        <v>151</v>
      </c>
      <c r="Q19" s="101" t="s">
        <v>151</v>
      </c>
      <c r="R19" s="101" t="s">
        <v>151</v>
      </c>
      <c r="S19" s="158" t="n">
        <v>5576.04</v>
      </c>
      <c r="T19" s="159" t="s">
        <v>151</v>
      </c>
      <c r="U19" s="159" t="s">
        <v>151</v>
      </c>
    </row>
    <row r="20" customFormat="false" ht="15" hidden="false" customHeight="false" outlineLevel="0" collapsed="false">
      <c r="A20" s="69"/>
      <c r="B20" s="101" t="s">
        <v>394</v>
      </c>
      <c r="C20" s="102" t="s">
        <v>151</v>
      </c>
      <c r="D20" s="101" t="s">
        <v>151</v>
      </c>
      <c r="E20" s="148" t="n">
        <v>2316</v>
      </c>
      <c r="F20" s="101" t="s">
        <v>151</v>
      </c>
      <c r="G20" s="101" t="n">
        <v>215</v>
      </c>
      <c r="H20" s="101" t="s">
        <v>151</v>
      </c>
      <c r="I20" s="101" t="s">
        <v>151</v>
      </c>
      <c r="J20" s="101" t="s">
        <v>151</v>
      </c>
      <c r="K20" s="148" t="n">
        <v>2513</v>
      </c>
      <c r="L20" s="101" t="s">
        <v>151</v>
      </c>
      <c r="M20" s="101" t="s">
        <v>151</v>
      </c>
      <c r="N20" s="101" t="s">
        <v>151</v>
      </c>
      <c r="O20" s="101" t="s">
        <v>151</v>
      </c>
      <c r="P20" s="105" t="s">
        <v>151</v>
      </c>
      <c r="Q20" s="101" t="s">
        <v>151</v>
      </c>
      <c r="R20" s="101" t="s">
        <v>151</v>
      </c>
      <c r="S20" s="101" t="s">
        <v>151</v>
      </c>
      <c r="T20" s="159" t="s">
        <v>151</v>
      </c>
      <c r="U20" s="159" t="s">
        <v>151</v>
      </c>
    </row>
    <row r="21" customFormat="false" ht="15" hidden="false" customHeight="false" outlineLevel="0" collapsed="false">
      <c r="A21" s="69"/>
      <c r="B21" s="101" t="s">
        <v>395</v>
      </c>
      <c r="C21" s="102" t="s">
        <v>151</v>
      </c>
      <c r="D21" s="101" t="s">
        <v>151</v>
      </c>
      <c r="E21" s="148" t="n">
        <v>1668</v>
      </c>
      <c r="F21" s="101" t="s">
        <v>151</v>
      </c>
      <c r="G21" s="148" t="n">
        <v>1084</v>
      </c>
      <c r="H21" s="101" t="s">
        <v>151</v>
      </c>
      <c r="I21" s="101" t="n">
        <v>972</v>
      </c>
      <c r="J21" s="148" t="n">
        <v>2376</v>
      </c>
      <c r="K21" s="101" t="s">
        <v>151</v>
      </c>
      <c r="L21" s="101" t="s">
        <v>151</v>
      </c>
      <c r="M21" s="101" t="s">
        <v>151</v>
      </c>
      <c r="N21" s="101" t="s">
        <v>151</v>
      </c>
      <c r="O21" s="101" t="s">
        <v>151</v>
      </c>
      <c r="P21" s="105" t="s">
        <v>151</v>
      </c>
      <c r="Q21" s="158" t="n">
        <v>1924.95</v>
      </c>
      <c r="R21" s="101" t="s">
        <v>151</v>
      </c>
      <c r="S21" s="101" t="s">
        <v>151</v>
      </c>
      <c r="T21" s="159" t="s">
        <v>151</v>
      </c>
      <c r="U21" s="159" t="s">
        <v>151</v>
      </c>
    </row>
    <row r="22" customFormat="false" ht="15" hidden="false" customHeight="false" outlineLevel="0" collapsed="false">
      <c r="A22" s="69"/>
      <c r="B22" s="101" t="s">
        <v>396</v>
      </c>
      <c r="C22" s="102" t="s">
        <v>151</v>
      </c>
      <c r="D22" s="101" t="s">
        <v>151</v>
      </c>
      <c r="E22" s="101" t="s">
        <v>151</v>
      </c>
      <c r="F22" s="101" t="s">
        <v>151</v>
      </c>
      <c r="G22" s="101" t="n">
        <v>729</v>
      </c>
      <c r="H22" s="101" t="n">
        <v>255</v>
      </c>
      <c r="I22" s="148" t="n">
        <v>1712</v>
      </c>
      <c r="J22" s="101" t="s">
        <v>151</v>
      </c>
      <c r="K22" s="101" t="n">
        <v>120</v>
      </c>
      <c r="L22" s="101" t="s">
        <v>151</v>
      </c>
      <c r="M22" s="101" t="s">
        <v>151</v>
      </c>
      <c r="N22" s="101" t="s">
        <v>151</v>
      </c>
      <c r="O22" s="101" t="s">
        <v>151</v>
      </c>
      <c r="P22" s="105" t="s">
        <v>151</v>
      </c>
      <c r="Q22" s="149" t="n">
        <v>677.57</v>
      </c>
      <c r="R22" s="101" t="s">
        <v>151</v>
      </c>
      <c r="S22" s="101" t="s">
        <v>151</v>
      </c>
      <c r="T22" s="159" t="s">
        <v>151</v>
      </c>
      <c r="U22" s="159" t="s">
        <v>151</v>
      </c>
    </row>
    <row r="23" customFormat="false" ht="41.25" hidden="false" customHeight="true" outlineLevel="0" collapsed="false">
      <c r="A23" s="69"/>
      <c r="B23" s="101" t="s">
        <v>397</v>
      </c>
      <c r="C23" s="102" t="s">
        <v>151</v>
      </c>
      <c r="D23" s="101" t="s">
        <v>151</v>
      </c>
      <c r="E23" s="101" t="s">
        <v>151</v>
      </c>
      <c r="F23" s="148" t="n">
        <v>3544</v>
      </c>
      <c r="G23" s="148" t="n">
        <v>2558</v>
      </c>
      <c r="H23" s="101" t="s">
        <v>151</v>
      </c>
      <c r="I23" s="101" t="s">
        <v>151</v>
      </c>
      <c r="J23" s="101" t="s">
        <v>151</v>
      </c>
      <c r="K23" s="101" t="s">
        <v>151</v>
      </c>
      <c r="L23" s="101" t="s">
        <v>151</v>
      </c>
      <c r="M23" s="101" t="s">
        <v>151</v>
      </c>
      <c r="N23" s="101" t="s">
        <v>151</v>
      </c>
      <c r="O23" s="101" t="s">
        <v>151</v>
      </c>
      <c r="P23" s="105" t="s">
        <v>151</v>
      </c>
      <c r="Q23" s="101" t="s">
        <v>151</v>
      </c>
      <c r="R23" s="101" t="s">
        <v>151</v>
      </c>
      <c r="S23" s="101" t="s">
        <v>151</v>
      </c>
      <c r="T23" s="159" t="s">
        <v>151</v>
      </c>
      <c r="U23" s="159" t="s">
        <v>151</v>
      </c>
    </row>
    <row r="24" customFormat="false" ht="30.75" hidden="false" customHeight="true" outlineLevel="0" collapsed="false">
      <c r="A24" s="69"/>
      <c r="B24" s="101" t="s">
        <v>398</v>
      </c>
      <c r="C24" s="102" t="s">
        <v>151</v>
      </c>
      <c r="D24" s="101" t="s">
        <v>151</v>
      </c>
      <c r="E24" s="101" t="s">
        <v>151</v>
      </c>
      <c r="F24" s="101" t="s">
        <v>151</v>
      </c>
      <c r="G24" s="101" t="n">
        <v>116</v>
      </c>
      <c r="H24" s="101" t="s">
        <v>151</v>
      </c>
      <c r="I24" s="101" t="s">
        <v>151</v>
      </c>
      <c r="J24" s="101" t="s">
        <v>151</v>
      </c>
      <c r="K24" s="101" t="s">
        <v>151</v>
      </c>
      <c r="L24" s="101" t="s">
        <v>151</v>
      </c>
      <c r="M24" s="101" t="s">
        <v>151</v>
      </c>
      <c r="N24" s="101" t="s">
        <v>151</v>
      </c>
      <c r="O24" s="101" t="s">
        <v>151</v>
      </c>
      <c r="P24" s="105" t="s">
        <v>151</v>
      </c>
      <c r="Q24" s="101" t="s">
        <v>151</v>
      </c>
      <c r="R24" s="101" t="s">
        <v>151</v>
      </c>
      <c r="S24" s="101" t="s">
        <v>151</v>
      </c>
      <c r="T24" s="159" t="s">
        <v>151</v>
      </c>
      <c r="U24" s="159" t="s">
        <v>151</v>
      </c>
    </row>
    <row r="25" customFormat="false" ht="30.75" hidden="false" customHeight="true" outlineLevel="0" collapsed="false">
      <c r="A25" s="69"/>
      <c r="B25" s="101" t="s">
        <v>399</v>
      </c>
      <c r="C25" s="102" t="s">
        <v>151</v>
      </c>
      <c r="D25" s="101" t="s">
        <v>151</v>
      </c>
      <c r="E25" s="101" t="s">
        <v>151</v>
      </c>
      <c r="F25" s="101" t="s">
        <v>151</v>
      </c>
      <c r="G25" s="101" t="n">
        <v>137</v>
      </c>
      <c r="H25" s="101" t="s">
        <v>151</v>
      </c>
      <c r="I25" s="101" t="s">
        <v>151</v>
      </c>
      <c r="J25" s="101" t="s">
        <v>151</v>
      </c>
      <c r="K25" s="101" t="s">
        <v>151</v>
      </c>
      <c r="L25" s="101" t="s">
        <v>151</v>
      </c>
      <c r="M25" s="101" t="s">
        <v>151</v>
      </c>
      <c r="N25" s="101" t="s">
        <v>151</v>
      </c>
      <c r="O25" s="101" t="s">
        <v>151</v>
      </c>
      <c r="P25" s="104" t="s">
        <v>151</v>
      </c>
      <c r="Q25" s="149" t="s">
        <v>151</v>
      </c>
      <c r="R25" s="149" t="s">
        <v>151</v>
      </c>
      <c r="S25" s="149" t="s">
        <v>151</v>
      </c>
      <c r="T25" s="159" t="s">
        <v>151</v>
      </c>
      <c r="U25" s="159" t="s">
        <v>151</v>
      </c>
    </row>
    <row r="26" customFormat="false" ht="20.25" hidden="false" customHeight="true" outlineLevel="0" collapsed="false">
      <c r="A26" s="69"/>
      <c r="B26" s="101" t="s">
        <v>400</v>
      </c>
      <c r="C26" s="102" t="s">
        <v>151</v>
      </c>
      <c r="D26" s="101" t="s">
        <v>151</v>
      </c>
      <c r="E26" s="101" t="s">
        <v>151</v>
      </c>
      <c r="F26" s="101" t="s">
        <v>151</v>
      </c>
      <c r="G26" s="101" t="s">
        <v>151</v>
      </c>
      <c r="H26" s="101" t="n">
        <v>60</v>
      </c>
      <c r="I26" s="101" t="s">
        <v>151</v>
      </c>
      <c r="J26" s="101" t="s">
        <v>151</v>
      </c>
      <c r="K26" s="101" t="n">
        <v>132</v>
      </c>
      <c r="L26" s="101" t="s">
        <v>151</v>
      </c>
      <c r="M26" s="101" t="s">
        <v>151</v>
      </c>
      <c r="N26" s="101" t="n">
        <v>60</v>
      </c>
      <c r="O26" s="101" t="s">
        <v>151</v>
      </c>
      <c r="P26" s="104" t="s">
        <v>151</v>
      </c>
      <c r="Q26" s="149" t="n">
        <v>72.57</v>
      </c>
      <c r="R26" s="149" t="s">
        <v>151</v>
      </c>
      <c r="S26" s="149" t="s">
        <v>151</v>
      </c>
      <c r="T26" s="159" t="s">
        <v>151</v>
      </c>
      <c r="U26" s="159" t="s">
        <v>151</v>
      </c>
    </row>
    <row r="27" customFormat="false" ht="15" hidden="false" customHeight="false" outlineLevel="0" collapsed="false">
      <c r="A27" s="69"/>
      <c r="B27" s="101" t="s">
        <v>179</v>
      </c>
      <c r="C27" s="102" t="s">
        <v>151</v>
      </c>
      <c r="D27" s="101" t="s">
        <v>151</v>
      </c>
      <c r="E27" s="148" t="n">
        <v>5421</v>
      </c>
      <c r="F27" s="101" t="n">
        <v>202</v>
      </c>
      <c r="G27" s="101" t="s">
        <v>151</v>
      </c>
      <c r="H27" s="101" t="s">
        <v>151</v>
      </c>
      <c r="I27" s="101" t="s">
        <v>151</v>
      </c>
      <c r="J27" s="148" t="n">
        <v>5537</v>
      </c>
      <c r="K27" s="101" t="s">
        <v>151</v>
      </c>
      <c r="L27" s="101" t="s">
        <v>151</v>
      </c>
      <c r="M27" s="101" t="s">
        <v>151</v>
      </c>
      <c r="N27" s="101" t="s">
        <v>151</v>
      </c>
      <c r="O27" s="101" t="s">
        <v>151</v>
      </c>
      <c r="P27" s="103"/>
      <c r="Q27" s="149" t="s">
        <v>151</v>
      </c>
      <c r="R27" s="149" t="s">
        <v>151</v>
      </c>
      <c r="S27" s="149" t="s">
        <v>151</v>
      </c>
      <c r="T27" s="159" t="s">
        <v>151</v>
      </c>
      <c r="U27" s="159" t="s">
        <v>151</v>
      </c>
    </row>
    <row r="28" customFormat="false" ht="15" hidden="false" customHeight="false" outlineLevel="0" collapsed="false">
      <c r="A28" s="69"/>
      <c r="B28" s="101" t="s">
        <v>401</v>
      </c>
      <c r="C28" s="102" t="s">
        <v>151</v>
      </c>
      <c r="D28" s="101" t="s">
        <v>151</v>
      </c>
      <c r="E28" s="101" t="s">
        <v>151</v>
      </c>
      <c r="F28" s="148" t="n">
        <v>1433</v>
      </c>
      <c r="G28" s="101" t="s">
        <v>151</v>
      </c>
      <c r="H28" s="101" t="s">
        <v>151</v>
      </c>
      <c r="I28" s="101" t="s">
        <v>151</v>
      </c>
      <c r="J28" s="148" t="n">
        <v>1433</v>
      </c>
      <c r="K28" s="101" t="s">
        <v>151</v>
      </c>
      <c r="L28" s="101" t="s">
        <v>151</v>
      </c>
      <c r="M28" s="101" t="s">
        <v>151</v>
      </c>
      <c r="N28" s="101" t="s">
        <v>151</v>
      </c>
      <c r="O28" s="101" t="s">
        <v>151</v>
      </c>
      <c r="P28" s="103" t="s">
        <v>151</v>
      </c>
      <c r="Q28" s="149" t="s">
        <v>151</v>
      </c>
      <c r="R28" s="149" t="s">
        <v>151</v>
      </c>
      <c r="S28" s="149" t="s">
        <v>151</v>
      </c>
      <c r="T28" s="159" t="s">
        <v>151</v>
      </c>
      <c r="U28" s="159" t="s">
        <v>151</v>
      </c>
    </row>
    <row r="29" customFormat="false" ht="20.25" hidden="false" customHeight="true" outlineLevel="0" collapsed="false">
      <c r="A29" s="69"/>
      <c r="B29" s="101" t="s">
        <v>402</v>
      </c>
      <c r="C29" s="102" t="s">
        <v>151</v>
      </c>
      <c r="D29" s="101" t="s">
        <v>151</v>
      </c>
      <c r="E29" s="101" t="s">
        <v>151</v>
      </c>
      <c r="F29" s="101" t="n">
        <v>228</v>
      </c>
      <c r="G29" s="101" t="n">
        <v>16</v>
      </c>
      <c r="H29" s="101" t="n">
        <v>79</v>
      </c>
      <c r="I29" s="101" t="s">
        <v>151</v>
      </c>
      <c r="J29" s="101" t="s">
        <v>151</v>
      </c>
      <c r="K29" s="101" t="s">
        <v>151</v>
      </c>
      <c r="L29" s="101" t="n">
        <v>321</v>
      </c>
      <c r="M29" s="101" t="s">
        <v>151</v>
      </c>
      <c r="N29" s="101" t="s">
        <v>151</v>
      </c>
      <c r="O29" s="101" t="s">
        <v>151</v>
      </c>
      <c r="P29" s="103"/>
      <c r="Q29" s="149" t="s">
        <v>151</v>
      </c>
      <c r="R29" s="149" t="s">
        <v>151</v>
      </c>
      <c r="S29" s="149" t="s">
        <v>151</v>
      </c>
      <c r="T29" s="159" t="s">
        <v>151</v>
      </c>
      <c r="U29" s="159" t="s">
        <v>151</v>
      </c>
    </row>
    <row r="30" customFormat="false" ht="30.75" hidden="false" customHeight="true" outlineLevel="0" collapsed="false">
      <c r="A30" s="69"/>
      <c r="B30" s="101" t="s">
        <v>403</v>
      </c>
      <c r="C30" s="102" t="s">
        <v>151</v>
      </c>
      <c r="D30" s="101" t="s">
        <v>151</v>
      </c>
      <c r="E30" s="101" t="s">
        <v>151</v>
      </c>
      <c r="F30" s="101" t="n">
        <v>464</v>
      </c>
      <c r="G30" s="101" t="s">
        <v>151</v>
      </c>
      <c r="H30" s="101" t="s">
        <v>151</v>
      </c>
      <c r="I30" s="101" t="s">
        <v>151</v>
      </c>
      <c r="J30" s="101" t="s">
        <v>151</v>
      </c>
      <c r="K30" s="101" t="s">
        <v>151</v>
      </c>
      <c r="L30" s="101" t="s">
        <v>151</v>
      </c>
      <c r="M30" s="101" t="s">
        <v>151</v>
      </c>
      <c r="N30" s="101" t="s">
        <v>151</v>
      </c>
      <c r="O30" s="101" t="s">
        <v>151</v>
      </c>
      <c r="P30" s="103" t="s">
        <v>151</v>
      </c>
      <c r="Q30" s="149" t="s">
        <v>151</v>
      </c>
      <c r="R30" s="149" t="s">
        <v>151</v>
      </c>
      <c r="S30" s="149" t="s">
        <v>151</v>
      </c>
      <c r="T30" s="159" t="s">
        <v>151</v>
      </c>
      <c r="U30" s="159" t="s">
        <v>151</v>
      </c>
    </row>
    <row r="31" customFormat="false" ht="15" hidden="false" customHeight="false" outlineLevel="0" collapsed="false">
      <c r="A31" s="69"/>
      <c r="B31" s="101" t="s">
        <v>54</v>
      </c>
      <c r="C31" s="102" t="s">
        <v>151</v>
      </c>
      <c r="D31" s="101" t="s">
        <v>151</v>
      </c>
      <c r="E31" s="148" t="n">
        <v>2308</v>
      </c>
      <c r="F31" s="101" t="s">
        <v>151</v>
      </c>
      <c r="G31" s="101" t="s">
        <v>151</v>
      </c>
      <c r="H31" s="101" t="s">
        <v>151</v>
      </c>
      <c r="I31" s="101" t="n">
        <v>410</v>
      </c>
      <c r="J31" s="101" t="s">
        <v>151</v>
      </c>
      <c r="K31" s="101" t="n">
        <v>585</v>
      </c>
      <c r="L31" s="101" t="s">
        <v>151</v>
      </c>
      <c r="M31" s="101" t="s">
        <v>151</v>
      </c>
      <c r="N31" s="101" t="n">
        <v>590</v>
      </c>
      <c r="O31" s="101" t="s">
        <v>151</v>
      </c>
      <c r="P31" s="103" t="s">
        <v>151</v>
      </c>
      <c r="Q31" s="158" t="n">
        <v>1734.69</v>
      </c>
      <c r="R31" s="149" t="n">
        <v>905.22</v>
      </c>
      <c r="S31" s="149" t="n">
        <v>183.33</v>
      </c>
      <c r="T31" s="159" t="s">
        <v>151</v>
      </c>
      <c r="U31" s="159" t="s">
        <v>151</v>
      </c>
    </row>
    <row r="32" customFormat="false" ht="15" hidden="false" customHeight="false" outlineLevel="0" collapsed="false">
      <c r="A32" s="69"/>
      <c r="B32" s="101" t="s">
        <v>404</v>
      </c>
      <c r="C32" s="102" t="s">
        <v>151</v>
      </c>
      <c r="D32" s="101" t="s">
        <v>151</v>
      </c>
      <c r="E32" s="148" t="n">
        <v>1099</v>
      </c>
      <c r="F32" s="101" t="s">
        <v>151</v>
      </c>
      <c r="G32" s="101" t="s">
        <v>151</v>
      </c>
      <c r="H32" s="101" t="n">
        <v>101</v>
      </c>
      <c r="I32" s="101" t="s">
        <v>151</v>
      </c>
      <c r="J32" s="148" t="n">
        <v>1179</v>
      </c>
      <c r="K32" s="101" t="n">
        <v>350</v>
      </c>
      <c r="L32" s="101" t="s">
        <v>151</v>
      </c>
      <c r="M32" s="101" t="s">
        <v>151</v>
      </c>
      <c r="N32" s="101" t="s">
        <v>151</v>
      </c>
      <c r="O32" s="101" t="s">
        <v>151</v>
      </c>
      <c r="P32" s="103" t="s">
        <v>151</v>
      </c>
      <c r="Q32" s="149" t="s">
        <v>151</v>
      </c>
      <c r="R32" s="149" t="s">
        <v>151</v>
      </c>
      <c r="S32" s="149" t="s">
        <v>151</v>
      </c>
      <c r="T32" s="159" t="s">
        <v>151</v>
      </c>
      <c r="U32" s="159" t="s">
        <v>151</v>
      </c>
    </row>
    <row r="33" customFormat="false" ht="15" hidden="false" customHeight="false" outlineLevel="0" collapsed="false">
      <c r="A33" s="69"/>
      <c r="B33" s="101" t="s">
        <v>405</v>
      </c>
      <c r="C33" s="102" t="s">
        <v>151</v>
      </c>
      <c r="D33" s="101" t="s">
        <v>151</v>
      </c>
      <c r="E33" s="101" t="n">
        <v>510</v>
      </c>
      <c r="F33" s="101" t="s">
        <v>151</v>
      </c>
      <c r="G33" s="101" t="s">
        <v>151</v>
      </c>
      <c r="H33" s="101" t="s">
        <v>151</v>
      </c>
      <c r="I33" s="101" t="s">
        <v>151</v>
      </c>
      <c r="J33" s="101" t="n">
        <v>475</v>
      </c>
      <c r="K33" s="101" t="s">
        <v>151</v>
      </c>
      <c r="L33" s="101" t="s">
        <v>151</v>
      </c>
      <c r="M33" s="101" t="s">
        <v>151</v>
      </c>
      <c r="N33" s="101" t="s">
        <v>151</v>
      </c>
      <c r="O33" s="101" t="s">
        <v>151</v>
      </c>
      <c r="P33" s="103" t="s">
        <v>151</v>
      </c>
      <c r="Q33" s="149" t="s">
        <v>151</v>
      </c>
      <c r="R33" s="149" t="s">
        <v>151</v>
      </c>
      <c r="S33" s="149" t="s">
        <v>151</v>
      </c>
      <c r="T33" s="159" t="s">
        <v>151</v>
      </c>
      <c r="U33" s="159" t="s">
        <v>151</v>
      </c>
    </row>
    <row r="34" customFormat="false" ht="15" hidden="false" customHeight="false" outlineLevel="0" collapsed="false">
      <c r="A34" s="69"/>
      <c r="B34" s="101" t="s">
        <v>406</v>
      </c>
      <c r="C34" s="102" t="s">
        <v>151</v>
      </c>
      <c r="D34" s="101" t="s">
        <v>151</v>
      </c>
      <c r="E34" s="101" t="s">
        <v>151</v>
      </c>
      <c r="F34" s="101" t="s">
        <v>151</v>
      </c>
      <c r="G34" s="101" t="s">
        <v>151</v>
      </c>
      <c r="H34" s="101" t="s">
        <v>151</v>
      </c>
      <c r="I34" s="101" t="s">
        <v>151</v>
      </c>
      <c r="J34" s="101" t="s">
        <v>151</v>
      </c>
      <c r="K34" s="101" t="s">
        <v>151</v>
      </c>
      <c r="L34" s="101" t="s">
        <v>151</v>
      </c>
      <c r="M34" s="101" t="s">
        <v>151</v>
      </c>
      <c r="N34" s="101" t="s">
        <v>151</v>
      </c>
      <c r="O34" s="101" t="s">
        <v>151</v>
      </c>
      <c r="P34" s="103" t="s">
        <v>151</v>
      </c>
      <c r="Q34" s="149" t="s">
        <v>151</v>
      </c>
      <c r="R34" s="149" t="s">
        <v>151</v>
      </c>
      <c r="S34" s="149" t="s">
        <v>151</v>
      </c>
      <c r="T34" s="159" t="s">
        <v>151</v>
      </c>
      <c r="U34" s="159" t="s">
        <v>151</v>
      </c>
    </row>
    <row r="35" customFormat="false" ht="15" hidden="false" customHeight="false" outlineLevel="0" collapsed="false">
      <c r="A35" s="69"/>
      <c r="B35" s="101" t="s">
        <v>407</v>
      </c>
      <c r="C35" s="102" t="s">
        <v>151</v>
      </c>
      <c r="D35" s="101" t="s">
        <v>151</v>
      </c>
      <c r="E35" s="101" t="s">
        <v>151</v>
      </c>
      <c r="F35" s="101" t="s">
        <v>151</v>
      </c>
      <c r="G35" s="101" t="s">
        <v>151</v>
      </c>
      <c r="H35" s="101" t="s">
        <v>151</v>
      </c>
      <c r="I35" s="101" t="n">
        <v>41</v>
      </c>
      <c r="J35" s="101" t="s">
        <v>151</v>
      </c>
      <c r="K35" s="101" t="s">
        <v>151</v>
      </c>
      <c r="L35" s="101" t="s">
        <v>151</v>
      </c>
      <c r="M35" s="101" t="s">
        <v>151</v>
      </c>
      <c r="N35" s="101" t="s">
        <v>151</v>
      </c>
      <c r="O35" s="101" t="s">
        <v>151</v>
      </c>
      <c r="P35" s="103" t="s">
        <v>151</v>
      </c>
      <c r="Q35" s="149" t="s">
        <v>151</v>
      </c>
      <c r="R35" s="149" t="s">
        <v>151</v>
      </c>
      <c r="S35" s="149" t="s">
        <v>151</v>
      </c>
      <c r="T35" s="159" t="s">
        <v>151</v>
      </c>
      <c r="U35" s="159" t="s">
        <v>151</v>
      </c>
    </row>
    <row r="36" customFormat="false" ht="20.25" hidden="false" customHeight="true" outlineLevel="0" collapsed="false">
      <c r="A36" s="69"/>
      <c r="B36" s="101" t="s">
        <v>408</v>
      </c>
      <c r="C36" s="102" t="s">
        <v>151</v>
      </c>
      <c r="D36" s="101" t="s">
        <v>151</v>
      </c>
      <c r="E36" s="148" t="n">
        <v>3126</v>
      </c>
      <c r="F36" s="101" t="s">
        <v>151</v>
      </c>
      <c r="G36" s="101" t="s">
        <v>151</v>
      </c>
      <c r="H36" s="101" t="s">
        <v>151</v>
      </c>
      <c r="I36" s="101" t="s">
        <v>151</v>
      </c>
      <c r="J36" s="148" t="n">
        <v>3126</v>
      </c>
      <c r="K36" s="101" t="s">
        <v>151</v>
      </c>
      <c r="L36" s="101" t="s">
        <v>151</v>
      </c>
      <c r="M36" s="101" t="s">
        <v>151</v>
      </c>
      <c r="N36" s="101" t="s">
        <v>151</v>
      </c>
      <c r="O36" s="101" t="s">
        <v>151</v>
      </c>
      <c r="P36" s="103" t="s">
        <v>151</v>
      </c>
      <c r="Q36" s="149" t="s">
        <v>151</v>
      </c>
      <c r="R36" s="149" t="s">
        <v>151</v>
      </c>
      <c r="S36" s="149" t="s">
        <v>151</v>
      </c>
      <c r="T36" s="159" t="s">
        <v>151</v>
      </c>
      <c r="U36" s="159" t="s">
        <v>151</v>
      </c>
    </row>
    <row r="37" customFormat="false" ht="15" hidden="false" customHeight="false" outlineLevel="0" collapsed="false">
      <c r="A37" s="69"/>
      <c r="B37" s="101" t="s">
        <v>409</v>
      </c>
      <c r="C37" s="102" t="s">
        <v>151</v>
      </c>
      <c r="D37" s="101" t="s">
        <v>151</v>
      </c>
      <c r="E37" s="101" t="s">
        <v>151</v>
      </c>
      <c r="F37" s="101" t="s">
        <v>151</v>
      </c>
      <c r="G37" s="101" t="s">
        <v>151</v>
      </c>
      <c r="H37" s="101" t="s">
        <v>151</v>
      </c>
      <c r="I37" s="101" t="s">
        <v>151</v>
      </c>
      <c r="J37" s="101" t="n">
        <v>397</v>
      </c>
      <c r="K37" s="101" t="s">
        <v>151</v>
      </c>
      <c r="L37" s="101" t="n">
        <v>472</v>
      </c>
      <c r="M37" s="101" t="s">
        <v>151</v>
      </c>
      <c r="N37" s="101" t="s">
        <v>151</v>
      </c>
      <c r="O37" s="101" t="s">
        <v>151</v>
      </c>
      <c r="P37" s="103" t="s">
        <v>151</v>
      </c>
      <c r="Q37" s="149" t="s">
        <v>151</v>
      </c>
      <c r="R37" s="149" t="n">
        <v>834.39</v>
      </c>
      <c r="S37" s="149" t="s">
        <v>151</v>
      </c>
      <c r="T37" s="159" t="s">
        <v>151</v>
      </c>
      <c r="U37" s="159" t="s">
        <v>151</v>
      </c>
    </row>
    <row r="38" customFormat="false" ht="15" hidden="false" customHeight="false" outlineLevel="0" collapsed="false">
      <c r="A38" s="69"/>
      <c r="B38" s="101" t="s">
        <v>410</v>
      </c>
      <c r="C38" s="102" t="s">
        <v>151</v>
      </c>
      <c r="D38" s="101" t="s">
        <v>151</v>
      </c>
      <c r="E38" s="101" t="s">
        <v>151</v>
      </c>
      <c r="F38" s="101" t="s">
        <v>151</v>
      </c>
      <c r="G38" s="101" t="s">
        <v>151</v>
      </c>
      <c r="H38" s="101" t="s">
        <v>151</v>
      </c>
      <c r="I38" s="101" t="s">
        <v>151</v>
      </c>
      <c r="J38" s="148" t="n">
        <v>1467</v>
      </c>
      <c r="K38" s="101" t="s">
        <v>151</v>
      </c>
      <c r="L38" s="101" t="s">
        <v>151</v>
      </c>
      <c r="M38" s="101" t="s">
        <v>151</v>
      </c>
      <c r="N38" s="101" t="s">
        <v>151</v>
      </c>
      <c r="O38" s="101" t="s">
        <v>151</v>
      </c>
      <c r="P38" s="103"/>
      <c r="Q38" s="149" t="s">
        <v>151</v>
      </c>
      <c r="R38" s="149" t="s">
        <v>151</v>
      </c>
      <c r="S38" s="149" t="s">
        <v>151</v>
      </c>
      <c r="T38" s="159" t="s">
        <v>151</v>
      </c>
      <c r="U38" s="159" t="s">
        <v>151</v>
      </c>
    </row>
    <row r="39" customFormat="false" ht="20.25" hidden="false" customHeight="true" outlineLevel="0" collapsed="false">
      <c r="A39" s="69"/>
      <c r="B39" s="101" t="s">
        <v>411</v>
      </c>
      <c r="C39" s="102" t="s">
        <v>151</v>
      </c>
      <c r="D39" s="101" t="s">
        <v>151</v>
      </c>
      <c r="E39" s="101" t="s">
        <v>151</v>
      </c>
      <c r="F39" s="101" t="s">
        <v>151</v>
      </c>
      <c r="G39" s="101" t="s">
        <v>151</v>
      </c>
      <c r="H39" s="101" t="s">
        <v>151</v>
      </c>
      <c r="I39" s="101" t="s">
        <v>151</v>
      </c>
      <c r="J39" s="101" t="s">
        <v>151</v>
      </c>
      <c r="K39" s="148" t="n">
        <v>1152</v>
      </c>
      <c r="L39" s="101" t="s">
        <v>151</v>
      </c>
      <c r="M39" s="101" t="s">
        <v>151</v>
      </c>
      <c r="N39" s="101" t="s">
        <v>151</v>
      </c>
      <c r="O39" s="101" t="s">
        <v>151</v>
      </c>
      <c r="P39" s="103" t="s">
        <v>151</v>
      </c>
      <c r="Q39" s="149" t="s">
        <v>151</v>
      </c>
      <c r="R39" s="149" t="s">
        <v>151</v>
      </c>
      <c r="S39" s="149" t="s">
        <v>151</v>
      </c>
      <c r="T39" s="159" t="s">
        <v>151</v>
      </c>
      <c r="U39" s="159" t="s">
        <v>151</v>
      </c>
    </row>
    <row r="40" customFormat="false" ht="15" hidden="false" customHeight="false" outlineLevel="0" collapsed="false">
      <c r="A40" s="69"/>
      <c r="B40" s="101" t="s">
        <v>412</v>
      </c>
      <c r="C40" s="102" t="s">
        <v>151</v>
      </c>
      <c r="D40" s="101" t="s">
        <v>151</v>
      </c>
      <c r="E40" s="101" t="s">
        <v>151</v>
      </c>
      <c r="F40" s="101" t="s">
        <v>151</v>
      </c>
      <c r="G40" s="101" t="s">
        <v>151</v>
      </c>
      <c r="H40" s="101" t="s">
        <v>151</v>
      </c>
      <c r="I40" s="101" t="s">
        <v>151</v>
      </c>
      <c r="J40" s="101" t="s">
        <v>151</v>
      </c>
      <c r="K40" s="101" t="s">
        <v>151</v>
      </c>
      <c r="L40" s="101" t="n">
        <v>50</v>
      </c>
      <c r="M40" s="101" t="s">
        <v>151</v>
      </c>
      <c r="N40" s="101" t="s">
        <v>151</v>
      </c>
      <c r="O40" s="101" t="s">
        <v>151</v>
      </c>
      <c r="P40" s="103" t="s">
        <v>151</v>
      </c>
      <c r="Q40" s="149" t="s">
        <v>151</v>
      </c>
      <c r="R40" s="149" t="s">
        <v>151</v>
      </c>
      <c r="S40" s="149" t="s">
        <v>151</v>
      </c>
      <c r="T40" s="159" t="s">
        <v>151</v>
      </c>
      <c r="U40" s="159" t="s">
        <v>151</v>
      </c>
    </row>
    <row r="41" customFormat="false" ht="20.25" hidden="false" customHeight="true" outlineLevel="0" collapsed="false">
      <c r="A41" s="69"/>
      <c r="B41" s="101" t="s">
        <v>53</v>
      </c>
      <c r="C41" s="102" t="s">
        <v>151</v>
      </c>
      <c r="D41" s="152" t="n">
        <v>0</v>
      </c>
      <c r="E41" s="152" t="s">
        <v>151</v>
      </c>
      <c r="F41" s="152" t="s">
        <v>151</v>
      </c>
      <c r="G41" s="152" t="s">
        <v>151</v>
      </c>
      <c r="H41" s="152" t="s">
        <v>151</v>
      </c>
      <c r="I41" s="152" t="s">
        <v>151</v>
      </c>
      <c r="J41" s="152" t="s">
        <v>151</v>
      </c>
      <c r="K41" s="152" t="s">
        <v>151</v>
      </c>
      <c r="L41" s="152" t="s">
        <v>151</v>
      </c>
      <c r="M41" s="152" t="s">
        <v>151</v>
      </c>
      <c r="N41" s="152" t="s">
        <v>151</v>
      </c>
      <c r="O41" s="152" t="s">
        <v>151</v>
      </c>
      <c r="P41" s="108" t="n">
        <v>2626.36</v>
      </c>
      <c r="Q41" s="149" t="s">
        <v>151</v>
      </c>
      <c r="R41" s="149" t="s">
        <v>151</v>
      </c>
      <c r="S41" s="149" t="s">
        <v>151</v>
      </c>
      <c r="T41" s="159" t="s">
        <v>151</v>
      </c>
      <c r="U41" s="159" t="s">
        <v>151</v>
      </c>
    </row>
    <row r="42" customFormat="false" ht="20.25" hidden="false" customHeight="true" outlineLevel="0" collapsed="false">
      <c r="A42" s="69"/>
      <c r="B42" s="101" t="s">
        <v>413</v>
      </c>
      <c r="C42" s="102" t="s">
        <v>151</v>
      </c>
      <c r="D42" s="101" t="s">
        <v>151</v>
      </c>
      <c r="E42" s="101" t="s">
        <v>151</v>
      </c>
      <c r="F42" s="101" t="s">
        <v>151</v>
      </c>
      <c r="G42" s="101" t="s">
        <v>151</v>
      </c>
      <c r="H42" s="101" t="s">
        <v>151</v>
      </c>
      <c r="I42" s="101" t="s">
        <v>151</v>
      </c>
      <c r="J42" s="101" t="s">
        <v>151</v>
      </c>
      <c r="K42" s="101" t="s">
        <v>151</v>
      </c>
      <c r="L42" s="101" t="n">
        <v>233</v>
      </c>
      <c r="M42" s="101" t="s">
        <v>151</v>
      </c>
      <c r="N42" s="101" t="s">
        <v>151</v>
      </c>
      <c r="O42" s="101" t="s">
        <v>151</v>
      </c>
      <c r="P42" s="103" t="s">
        <v>151</v>
      </c>
      <c r="Q42" s="149" t="s">
        <v>151</v>
      </c>
      <c r="R42" s="149" t="s">
        <v>151</v>
      </c>
      <c r="S42" s="149" t="s">
        <v>151</v>
      </c>
      <c r="T42" s="159" t="s">
        <v>151</v>
      </c>
      <c r="U42" s="159" t="s">
        <v>151</v>
      </c>
    </row>
    <row r="43" customFormat="false" ht="30.75" hidden="false" customHeight="true" outlineLevel="0" collapsed="false">
      <c r="A43" s="69"/>
      <c r="B43" s="101" t="s">
        <v>414</v>
      </c>
      <c r="C43" s="102" t="s">
        <v>151</v>
      </c>
      <c r="D43" s="101" t="s">
        <v>151</v>
      </c>
      <c r="E43" s="101" t="s">
        <v>151</v>
      </c>
      <c r="F43" s="101" t="s">
        <v>151</v>
      </c>
      <c r="G43" s="101" t="s">
        <v>151</v>
      </c>
      <c r="H43" s="101" t="s">
        <v>151</v>
      </c>
      <c r="I43" s="101" t="s">
        <v>151</v>
      </c>
      <c r="J43" s="101" t="s">
        <v>151</v>
      </c>
      <c r="K43" s="101" t="s">
        <v>151</v>
      </c>
      <c r="L43" s="101" t="n">
        <v>28</v>
      </c>
      <c r="M43" s="101" t="s">
        <v>151</v>
      </c>
      <c r="N43" s="101" t="s">
        <v>151</v>
      </c>
      <c r="O43" s="101" t="s">
        <v>151</v>
      </c>
      <c r="P43" s="103"/>
      <c r="Q43" s="149" t="s">
        <v>151</v>
      </c>
      <c r="R43" s="149" t="s">
        <v>151</v>
      </c>
      <c r="S43" s="149" t="s">
        <v>151</v>
      </c>
      <c r="T43" s="159" t="s">
        <v>151</v>
      </c>
      <c r="U43" s="159" t="s">
        <v>151</v>
      </c>
    </row>
    <row r="44" customFormat="false" ht="20.25" hidden="false" customHeight="true" outlineLevel="0" collapsed="false">
      <c r="A44" s="69"/>
      <c r="B44" s="101" t="s">
        <v>415</v>
      </c>
      <c r="C44" s="102" t="s">
        <v>151</v>
      </c>
      <c r="D44" s="101" t="s">
        <v>151</v>
      </c>
      <c r="E44" s="101" t="s">
        <v>151</v>
      </c>
      <c r="F44" s="101" t="s">
        <v>151</v>
      </c>
      <c r="G44" s="101" t="s">
        <v>151</v>
      </c>
      <c r="H44" s="101" t="s">
        <v>151</v>
      </c>
      <c r="I44" s="101" t="s">
        <v>151</v>
      </c>
      <c r="J44" s="101" t="n">
        <v>561</v>
      </c>
      <c r="K44" s="101" t="s">
        <v>151</v>
      </c>
      <c r="L44" s="101" t="s">
        <v>151</v>
      </c>
      <c r="M44" s="101" t="s">
        <v>151</v>
      </c>
      <c r="N44" s="101" t="s">
        <v>151</v>
      </c>
      <c r="O44" s="101" t="s">
        <v>151</v>
      </c>
      <c r="P44" s="103" t="s">
        <v>151</v>
      </c>
      <c r="Q44" s="149" t="s">
        <v>151</v>
      </c>
      <c r="R44" s="149" t="s">
        <v>151</v>
      </c>
      <c r="S44" s="149" t="s">
        <v>151</v>
      </c>
      <c r="T44" s="159" t="s">
        <v>151</v>
      </c>
      <c r="U44" s="159" t="s">
        <v>151</v>
      </c>
    </row>
    <row r="45" customFormat="false" ht="15" hidden="false" customHeight="false" outlineLevel="0" collapsed="false">
      <c r="A45" s="69"/>
      <c r="B45" s="101" t="s">
        <v>416</v>
      </c>
      <c r="C45" s="102" t="s">
        <v>151</v>
      </c>
      <c r="D45" s="151" t="n">
        <v>0</v>
      </c>
      <c r="E45" s="151" t="s">
        <v>151</v>
      </c>
      <c r="F45" s="151" t="s">
        <v>151</v>
      </c>
      <c r="G45" s="151" t="s">
        <v>151</v>
      </c>
      <c r="H45" s="151" t="s">
        <v>151</v>
      </c>
      <c r="I45" s="151" t="s">
        <v>151</v>
      </c>
      <c r="J45" s="152" t="s">
        <v>151</v>
      </c>
      <c r="K45" s="151" t="s">
        <v>151</v>
      </c>
      <c r="L45" s="151" t="s">
        <v>151</v>
      </c>
      <c r="M45" s="151" t="s">
        <v>151</v>
      </c>
      <c r="N45" s="151" t="s">
        <v>151</v>
      </c>
      <c r="O45" s="151" t="s">
        <v>151</v>
      </c>
      <c r="P45" s="103"/>
      <c r="Q45" s="149" t="s">
        <v>151</v>
      </c>
      <c r="R45" s="149" t="n">
        <v>0.65</v>
      </c>
      <c r="S45" s="149" t="s">
        <v>151</v>
      </c>
      <c r="T45" s="159" t="s">
        <v>151</v>
      </c>
      <c r="U45" s="159" t="s">
        <v>151</v>
      </c>
    </row>
    <row r="46" customFormat="false" ht="30.75" hidden="false" customHeight="true" outlineLevel="0" collapsed="false">
      <c r="A46" s="69"/>
      <c r="B46" s="101" t="s">
        <v>417</v>
      </c>
      <c r="C46" s="102" t="s">
        <v>151</v>
      </c>
      <c r="D46" s="101" t="s">
        <v>151</v>
      </c>
      <c r="E46" s="101" t="s">
        <v>151</v>
      </c>
      <c r="F46" s="101" t="s">
        <v>151</v>
      </c>
      <c r="G46" s="101" t="s">
        <v>151</v>
      </c>
      <c r="H46" s="101" t="s">
        <v>151</v>
      </c>
      <c r="I46" s="101" t="s">
        <v>151</v>
      </c>
      <c r="J46" s="101" t="n">
        <v>326</v>
      </c>
      <c r="K46" s="101" t="s">
        <v>151</v>
      </c>
      <c r="L46" s="101" t="s">
        <v>151</v>
      </c>
      <c r="M46" s="101" t="s">
        <v>151</v>
      </c>
      <c r="N46" s="101" t="s">
        <v>151</v>
      </c>
      <c r="O46" s="101" t="s">
        <v>151</v>
      </c>
      <c r="P46" s="103" t="s">
        <v>151</v>
      </c>
      <c r="Q46" s="149" t="s">
        <v>151</v>
      </c>
      <c r="R46" s="149" t="s">
        <v>151</v>
      </c>
      <c r="S46" s="149" t="s">
        <v>151</v>
      </c>
      <c r="T46" s="159" t="s">
        <v>151</v>
      </c>
      <c r="U46" s="159" t="s">
        <v>151</v>
      </c>
    </row>
    <row r="47" customFormat="false" ht="15" hidden="false" customHeight="false" outlineLevel="0" collapsed="false">
      <c r="A47" s="69"/>
      <c r="B47" s="101" t="s">
        <v>418</v>
      </c>
      <c r="C47" s="102" t="s">
        <v>151</v>
      </c>
      <c r="D47" s="101" t="s">
        <v>151</v>
      </c>
      <c r="E47" s="101" t="s">
        <v>151</v>
      </c>
      <c r="F47" s="101" t="s">
        <v>151</v>
      </c>
      <c r="G47" s="101" t="s">
        <v>151</v>
      </c>
      <c r="H47" s="101" t="n">
        <v>103</v>
      </c>
      <c r="I47" s="101" t="s">
        <v>151</v>
      </c>
      <c r="J47" s="101" t="s">
        <v>151</v>
      </c>
      <c r="K47" s="101" t="s">
        <v>151</v>
      </c>
      <c r="L47" s="101" t="s">
        <v>151</v>
      </c>
      <c r="M47" s="101" t="s">
        <v>151</v>
      </c>
      <c r="N47" s="101" t="s">
        <v>151</v>
      </c>
      <c r="O47" s="101" t="s">
        <v>151</v>
      </c>
      <c r="P47" s="103"/>
      <c r="Q47" s="149" t="s">
        <v>151</v>
      </c>
      <c r="R47" s="149" t="s">
        <v>151</v>
      </c>
      <c r="S47" s="149" t="s">
        <v>151</v>
      </c>
      <c r="T47" s="159" t="s">
        <v>151</v>
      </c>
      <c r="U47" s="159" t="s">
        <v>151</v>
      </c>
    </row>
    <row r="48" customFormat="false" ht="15" hidden="false" customHeight="false" outlineLevel="0" collapsed="false">
      <c r="A48" s="69"/>
      <c r="B48" s="101" t="s">
        <v>419</v>
      </c>
      <c r="C48" s="102" t="s">
        <v>151</v>
      </c>
      <c r="D48" s="101" t="s">
        <v>151</v>
      </c>
      <c r="E48" s="101" t="s">
        <v>151</v>
      </c>
      <c r="F48" s="101" t="s">
        <v>151</v>
      </c>
      <c r="G48" s="101" t="s">
        <v>151</v>
      </c>
      <c r="H48" s="101" t="n">
        <v>141</v>
      </c>
      <c r="I48" s="101" t="s">
        <v>151</v>
      </c>
      <c r="J48" s="101" t="n">
        <v>859</v>
      </c>
      <c r="K48" s="101" t="s">
        <v>151</v>
      </c>
      <c r="L48" s="101" t="n">
        <v>101</v>
      </c>
      <c r="M48" s="101" t="s">
        <v>151</v>
      </c>
      <c r="N48" s="101" t="s">
        <v>151</v>
      </c>
      <c r="O48" s="101" t="s">
        <v>151</v>
      </c>
      <c r="P48" s="103" t="n">
        <v>105.35</v>
      </c>
      <c r="Q48" s="149" t="s">
        <v>151</v>
      </c>
      <c r="R48" s="149" t="s">
        <v>151</v>
      </c>
      <c r="S48" s="149" t="s">
        <v>151</v>
      </c>
      <c r="T48" s="159" t="s">
        <v>151</v>
      </c>
      <c r="U48" s="159" t="s">
        <v>151</v>
      </c>
    </row>
    <row r="49" customFormat="false" ht="20.25" hidden="false" customHeight="true" outlineLevel="0" collapsed="false">
      <c r="A49" s="69"/>
      <c r="B49" s="101" t="s">
        <v>420</v>
      </c>
      <c r="C49" s="102" t="s">
        <v>151</v>
      </c>
      <c r="D49" s="101" t="s">
        <v>151</v>
      </c>
      <c r="E49" s="101" t="s">
        <v>151</v>
      </c>
      <c r="F49" s="101" t="s">
        <v>151</v>
      </c>
      <c r="G49" s="101" t="s">
        <v>151</v>
      </c>
      <c r="H49" s="101" t="s">
        <v>151</v>
      </c>
      <c r="I49" s="101" t="n">
        <v>365</v>
      </c>
      <c r="J49" s="101" t="s">
        <v>151</v>
      </c>
      <c r="K49" s="101" t="n">
        <v>652</v>
      </c>
      <c r="L49" s="101" t="n">
        <v>209</v>
      </c>
      <c r="M49" s="101" t="s">
        <v>151</v>
      </c>
      <c r="N49" s="101" t="s">
        <v>151</v>
      </c>
      <c r="O49" s="101" t="s">
        <v>151</v>
      </c>
      <c r="P49" s="103" t="s">
        <v>151</v>
      </c>
      <c r="Q49" s="149" t="s">
        <v>151</v>
      </c>
      <c r="R49" s="149" t="s">
        <v>151</v>
      </c>
      <c r="S49" s="149" t="s">
        <v>151</v>
      </c>
      <c r="T49" s="159" t="s">
        <v>151</v>
      </c>
      <c r="U49" s="159" t="s">
        <v>151</v>
      </c>
    </row>
    <row r="50" customFormat="false" ht="20.25" hidden="false" customHeight="true" outlineLevel="0" collapsed="false">
      <c r="A50" s="69"/>
      <c r="B50" s="101" t="s">
        <v>421</v>
      </c>
      <c r="C50" s="102" t="s">
        <v>151</v>
      </c>
      <c r="D50" s="151" t="s">
        <v>151</v>
      </c>
      <c r="E50" s="151" t="s">
        <v>151</v>
      </c>
      <c r="F50" s="151" t="s">
        <v>151</v>
      </c>
      <c r="G50" s="151" t="s">
        <v>151</v>
      </c>
      <c r="H50" s="151" t="s">
        <v>151</v>
      </c>
      <c r="I50" s="151" t="s">
        <v>151</v>
      </c>
      <c r="J50" s="152" t="s">
        <v>151</v>
      </c>
      <c r="K50" s="151" t="s">
        <v>151</v>
      </c>
      <c r="L50" s="151" t="s">
        <v>151</v>
      </c>
      <c r="M50" s="151" t="s">
        <v>151</v>
      </c>
      <c r="N50" s="151" t="n">
        <v>380</v>
      </c>
      <c r="O50" s="151" t="s">
        <v>151</v>
      </c>
      <c r="P50" s="103"/>
      <c r="Q50" s="149" t="s">
        <v>151</v>
      </c>
      <c r="R50" s="149" t="s">
        <v>151</v>
      </c>
      <c r="S50" s="149" t="s">
        <v>151</v>
      </c>
      <c r="T50" s="159" t="s">
        <v>151</v>
      </c>
      <c r="U50" s="159" t="s">
        <v>151</v>
      </c>
    </row>
    <row r="51" customFormat="false" ht="20.25" hidden="false" customHeight="true" outlineLevel="0" collapsed="false">
      <c r="A51" s="69"/>
      <c r="B51" s="101" t="s">
        <v>422</v>
      </c>
      <c r="C51" s="102" t="s">
        <v>151</v>
      </c>
      <c r="D51" s="151" t="s">
        <v>151</v>
      </c>
      <c r="E51" s="151" t="s">
        <v>151</v>
      </c>
      <c r="F51" s="151" t="s">
        <v>151</v>
      </c>
      <c r="G51" s="151" t="s">
        <v>151</v>
      </c>
      <c r="H51" s="151" t="s">
        <v>151</v>
      </c>
      <c r="I51" s="151" t="s">
        <v>151</v>
      </c>
      <c r="J51" s="151" t="s">
        <v>151</v>
      </c>
      <c r="K51" s="151" t="s">
        <v>151</v>
      </c>
      <c r="L51" s="151" t="s">
        <v>151</v>
      </c>
      <c r="M51" s="151" t="s">
        <v>151</v>
      </c>
      <c r="N51" s="151" t="n">
        <v>30</v>
      </c>
      <c r="O51" s="151" t="s">
        <v>151</v>
      </c>
      <c r="P51" s="105" t="s">
        <v>151</v>
      </c>
      <c r="Q51" s="101" t="s">
        <v>151</v>
      </c>
      <c r="R51" s="101" t="s">
        <v>151</v>
      </c>
      <c r="S51" s="101" t="s">
        <v>151</v>
      </c>
      <c r="T51" s="159" t="s">
        <v>151</v>
      </c>
      <c r="U51" s="159" t="s">
        <v>151</v>
      </c>
    </row>
    <row r="52" customFormat="false" ht="20.25" hidden="false" customHeight="true" outlineLevel="0" collapsed="false">
      <c r="A52" s="69"/>
      <c r="B52" s="115" t="s">
        <v>423</v>
      </c>
      <c r="C52" s="102" t="s">
        <v>151</v>
      </c>
      <c r="D52" s="124" t="s">
        <v>151</v>
      </c>
      <c r="E52" s="153" t="n">
        <v>16449</v>
      </c>
      <c r="F52" s="153" t="n">
        <v>5870</v>
      </c>
      <c r="G52" s="153" t="n">
        <v>6855</v>
      </c>
      <c r="H52" s="153" t="n">
        <v>3824</v>
      </c>
      <c r="I52" s="153" t="n">
        <v>4795</v>
      </c>
      <c r="J52" s="153" t="n">
        <v>20208</v>
      </c>
      <c r="K52" s="153" t="n">
        <v>5504</v>
      </c>
      <c r="L52" s="153" t="n">
        <v>1415</v>
      </c>
      <c r="M52" s="124" t="s">
        <v>151</v>
      </c>
      <c r="N52" s="153" t="n">
        <v>1060</v>
      </c>
      <c r="O52" s="124" t="s">
        <v>151</v>
      </c>
      <c r="P52" s="117" t="n">
        <v>2731.71</v>
      </c>
      <c r="Q52" s="160" t="n">
        <v>4409.78</v>
      </c>
      <c r="R52" s="160" t="n">
        <v>1740.26</v>
      </c>
      <c r="S52" s="160" t="n">
        <v>5759.37</v>
      </c>
      <c r="T52" s="161" t="s">
        <v>151</v>
      </c>
      <c r="U52" s="161" t="s">
        <v>151</v>
      </c>
    </row>
    <row r="53" customFormat="false" ht="15" hidden="false" customHeight="false" outlineLevel="0" collapsed="false">
      <c r="A53" s="69"/>
      <c r="B53" s="126" t="s">
        <v>151</v>
      </c>
      <c r="C53" s="102" t="s">
        <v>151</v>
      </c>
      <c r="D53" s="101" t="s">
        <v>151</v>
      </c>
      <c r="E53" s="101" t="s">
        <v>151</v>
      </c>
      <c r="F53" s="101" t="s">
        <v>151</v>
      </c>
      <c r="G53" s="101" t="s">
        <v>151</v>
      </c>
      <c r="H53" s="101" t="s">
        <v>151</v>
      </c>
      <c r="I53" s="101" t="s">
        <v>151</v>
      </c>
      <c r="J53" s="101" t="s">
        <v>151</v>
      </c>
      <c r="K53" s="101" t="s">
        <v>151</v>
      </c>
      <c r="L53" s="101" t="s">
        <v>151</v>
      </c>
      <c r="M53" s="101" t="s">
        <v>151</v>
      </c>
      <c r="N53" s="101" t="s">
        <v>151</v>
      </c>
      <c r="O53" s="101" t="s">
        <v>151</v>
      </c>
      <c r="P53" s="105" t="s">
        <v>151</v>
      </c>
      <c r="Q53" s="101" t="s">
        <v>151</v>
      </c>
      <c r="R53" s="101" t="s">
        <v>151</v>
      </c>
      <c r="S53" s="101" t="s">
        <v>151</v>
      </c>
      <c r="T53" s="162" t="s">
        <v>151</v>
      </c>
      <c r="U53" s="162" t="s">
        <v>151</v>
      </c>
    </row>
    <row r="54" customFormat="false" ht="15" hidden="false" customHeight="false" outlineLevel="0" collapsed="false">
      <c r="A54" s="69"/>
      <c r="B54" s="101" t="s">
        <v>424</v>
      </c>
      <c r="C54" s="102" t="s">
        <v>151</v>
      </c>
      <c r="D54" s="101" t="s">
        <v>151</v>
      </c>
      <c r="E54" s="101" t="s">
        <v>151</v>
      </c>
      <c r="F54" s="101" t="s">
        <v>151</v>
      </c>
      <c r="G54" s="101" t="s">
        <v>151</v>
      </c>
      <c r="H54" s="101" t="s">
        <v>151</v>
      </c>
      <c r="I54" s="101" t="n">
        <v>150</v>
      </c>
      <c r="J54" s="101" t="s">
        <v>151</v>
      </c>
      <c r="K54" s="101" t="s">
        <v>151</v>
      </c>
      <c r="L54" s="101" t="s">
        <v>151</v>
      </c>
      <c r="M54" s="101" t="s">
        <v>151</v>
      </c>
      <c r="N54" s="101" t="s">
        <v>151</v>
      </c>
      <c r="O54" s="101" t="s">
        <v>151</v>
      </c>
      <c r="P54" s="105" t="s">
        <v>151</v>
      </c>
      <c r="Q54" s="101" t="s">
        <v>151</v>
      </c>
      <c r="R54" s="101" t="s">
        <v>151</v>
      </c>
      <c r="S54" s="101" t="s">
        <v>151</v>
      </c>
      <c r="T54" s="159" t="s">
        <v>151</v>
      </c>
      <c r="U54" s="159" t="s">
        <v>151</v>
      </c>
    </row>
    <row r="55" customFormat="false" ht="15" hidden="false" customHeight="false" outlineLevel="0" collapsed="false">
      <c r="A55" s="69"/>
      <c r="B55" s="101" t="s">
        <v>425</v>
      </c>
      <c r="C55" s="102" t="s">
        <v>151</v>
      </c>
      <c r="D55" s="101" t="s">
        <v>151</v>
      </c>
      <c r="E55" s="101" t="s">
        <v>151</v>
      </c>
      <c r="F55" s="101" t="s">
        <v>151</v>
      </c>
      <c r="G55" s="148" t="n">
        <v>1221</v>
      </c>
      <c r="H55" s="101" t="n">
        <v>244</v>
      </c>
      <c r="I55" s="101" t="n">
        <v>110</v>
      </c>
      <c r="J55" s="101" t="n">
        <v>397</v>
      </c>
      <c r="K55" s="101" t="n">
        <v>195</v>
      </c>
      <c r="L55" s="101" t="s">
        <v>151</v>
      </c>
      <c r="M55" s="101" t="s">
        <v>151</v>
      </c>
      <c r="N55" s="148" t="n">
        <v>2129</v>
      </c>
      <c r="O55" s="101" t="n">
        <v>394</v>
      </c>
      <c r="P55" s="127" t="n">
        <v>236.5</v>
      </c>
      <c r="Q55" s="101" t="s">
        <v>151</v>
      </c>
      <c r="R55" s="149" t="n">
        <v>417.88</v>
      </c>
      <c r="S55" s="101" t="s">
        <v>151</v>
      </c>
      <c r="T55" s="159" t="s">
        <v>151</v>
      </c>
      <c r="U55" s="159" t="s">
        <v>151</v>
      </c>
    </row>
    <row r="56" customFormat="false" ht="15" hidden="false" customHeight="false" outlineLevel="0" collapsed="false">
      <c r="A56" s="69"/>
      <c r="B56" s="101" t="s">
        <v>426</v>
      </c>
      <c r="C56" s="102" t="s">
        <v>151</v>
      </c>
      <c r="D56" s="101" t="s">
        <v>151</v>
      </c>
      <c r="E56" s="101" t="s">
        <v>151</v>
      </c>
      <c r="F56" s="101" t="s">
        <v>151</v>
      </c>
      <c r="G56" s="101" t="s">
        <v>151</v>
      </c>
      <c r="H56" s="101" t="s">
        <v>151</v>
      </c>
      <c r="I56" s="101" t="s">
        <v>151</v>
      </c>
      <c r="J56" s="101" t="s">
        <v>151</v>
      </c>
      <c r="K56" s="101" t="s">
        <v>151</v>
      </c>
      <c r="L56" s="101" t="s">
        <v>151</v>
      </c>
      <c r="M56" s="101" t="s">
        <v>151</v>
      </c>
      <c r="N56" s="101" t="s">
        <v>151</v>
      </c>
      <c r="O56" s="101" t="s">
        <v>151</v>
      </c>
      <c r="P56" s="105" t="s">
        <v>151</v>
      </c>
      <c r="Q56" s="101" t="s">
        <v>151</v>
      </c>
      <c r="R56" s="101" t="s">
        <v>151</v>
      </c>
      <c r="S56" s="101" t="s">
        <v>151</v>
      </c>
      <c r="T56" s="159" t="s">
        <v>151</v>
      </c>
      <c r="U56" s="159" t="s">
        <v>151</v>
      </c>
    </row>
    <row r="57" customFormat="false" ht="15" hidden="false" customHeight="false" outlineLevel="0" collapsed="false">
      <c r="A57" s="69"/>
      <c r="B57" s="101" t="s">
        <v>427</v>
      </c>
      <c r="C57" s="102" t="s">
        <v>151</v>
      </c>
      <c r="D57" s="101" t="s">
        <v>151</v>
      </c>
      <c r="E57" s="101" t="s">
        <v>151</v>
      </c>
      <c r="F57" s="101" t="n">
        <v>133</v>
      </c>
      <c r="G57" s="101" t="s">
        <v>151</v>
      </c>
      <c r="H57" s="101" t="n">
        <v>117</v>
      </c>
      <c r="I57" s="101" t="n">
        <v>48</v>
      </c>
      <c r="J57" s="101" t="n">
        <v>122</v>
      </c>
      <c r="K57" s="101" t="n">
        <v>48</v>
      </c>
      <c r="L57" s="101" t="s">
        <v>151</v>
      </c>
      <c r="M57" s="101" t="s">
        <v>151</v>
      </c>
      <c r="N57" s="101" t="n">
        <v>112</v>
      </c>
      <c r="O57" s="101" t="s">
        <v>151</v>
      </c>
      <c r="P57" s="105" t="s">
        <v>151</v>
      </c>
      <c r="Q57" s="101" t="s">
        <v>151</v>
      </c>
      <c r="R57" s="101" t="s">
        <v>151</v>
      </c>
      <c r="S57" s="101" t="s">
        <v>151</v>
      </c>
      <c r="T57" s="159" t="s">
        <v>151</v>
      </c>
      <c r="U57" s="159" t="s">
        <v>151</v>
      </c>
    </row>
    <row r="58" customFormat="false" ht="15" hidden="false" customHeight="false" outlineLevel="0" collapsed="false">
      <c r="A58" s="69"/>
      <c r="B58" s="101" t="s">
        <v>428</v>
      </c>
      <c r="C58" s="102" t="s">
        <v>151</v>
      </c>
      <c r="D58" s="101" t="s">
        <v>151</v>
      </c>
      <c r="E58" s="101" t="s">
        <v>151</v>
      </c>
      <c r="F58" s="101" t="n">
        <v>603</v>
      </c>
      <c r="G58" s="101" t="s">
        <v>151</v>
      </c>
      <c r="H58" s="101" t="s">
        <v>151</v>
      </c>
      <c r="I58" s="101" t="n">
        <v>465</v>
      </c>
      <c r="J58" s="101" t="n">
        <v>156</v>
      </c>
      <c r="K58" s="101" t="n">
        <v>365</v>
      </c>
      <c r="L58" s="101" t="s">
        <v>151</v>
      </c>
      <c r="M58" s="101" t="s">
        <v>151</v>
      </c>
      <c r="N58" s="101" t="s">
        <v>151</v>
      </c>
      <c r="O58" s="101" t="s">
        <v>151</v>
      </c>
      <c r="P58" s="127" t="n">
        <v>115.57</v>
      </c>
      <c r="Q58" s="101" t="s">
        <v>151</v>
      </c>
      <c r="R58" s="149" t="n">
        <v>148.95</v>
      </c>
      <c r="S58" s="101" t="s">
        <v>151</v>
      </c>
      <c r="T58" s="159" t="s">
        <v>151</v>
      </c>
      <c r="U58" s="159" t="s">
        <v>151</v>
      </c>
    </row>
    <row r="59" customFormat="false" ht="20.25" hidden="false" customHeight="true" outlineLevel="0" collapsed="false">
      <c r="A59" s="69"/>
      <c r="B59" s="101" t="s">
        <v>429</v>
      </c>
      <c r="C59" s="102" t="s">
        <v>151</v>
      </c>
      <c r="D59" s="101" t="s">
        <v>151</v>
      </c>
      <c r="E59" s="101" t="n">
        <v>359</v>
      </c>
      <c r="F59" s="101" t="s">
        <v>151</v>
      </c>
      <c r="G59" s="101" t="s">
        <v>151</v>
      </c>
      <c r="H59" s="101" t="s">
        <v>151</v>
      </c>
      <c r="I59" s="101" t="s">
        <v>151</v>
      </c>
      <c r="J59" s="101" t="n">
        <v>347</v>
      </c>
      <c r="K59" s="101" t="s">
        <v>151</v>
      </c>
      <c r="L59" s="101" t="s">
        <v>151</v>
      </c>
      <c r="M59" s="101" t="s">
        <v>151</v>
      </c>
      <c r="N59" s="101" t="s">
        <v>151</v>
      </c>
      <c r="O59" s="101" t="s">
        <v>151</v>
      </c>
      <c r="P59" s="105" t="s">
        <v>151</v>
      </c>
      <c r="Q59" s="101" t="s">
        <v>151</v>
      </c>
      <c r="R59" s="101" t="s">
        <v>151</v>
      </c>
      <c r="S59" s="101" t="s">
        <v>151</v>
      </c>
      <c r="T59" s="159" t="s">
        <v>151</v>
      </c>
      <c r="U59" s="159" t="s">
        <v>151</v>
      </c>
    </row>
    <row r="60" customFormat="false" ht="15" hidden="false" customHeight="false" outlineLevel="0" collapsed="false">
      <c r="A60" s="69"/>
      <c r="B60" s="101" t="s">
        <v>264</v>
      </c>
      <c r="C60" s="102" t="s">
        <v>151</v>
      </c>
      <c r="D60" s="101" t="s">
        <v>151</v>
      </c>
      <c r="E60" s="101" t="s">
        <v>151</v>
      </c>
      <c r="F60" s="101" t="s">
        <v>151</v>
      </c>
      <c r="G60" s="101" t="s">
        <v>151</v>
      </c>
      <c r="H60" s="148" t="n">
        <v>2505</v>
      </c>
      <c r="I60" s="101" t="s">
        <v>151</v>
      </c>
      <c r="J60" s="101" t="s">
        <v>151</v>
      </c>
      <c r="K60" s="101" t="s">
        <v>151</v>
      </c>
      <c r="L60" s="101" t="n">
        <v>248</v>
      </c>
      <c r="M60" s="101" t="s">
        <v>151</v>
      </c>
      <c r="N60" s="101" t="s">
        <v>151</v>
      </c>
      <c r="O60" s="101" t="s">
        <v>151</v>
      </c>
      <c r="P60" s="105" t="s">
        <v>151</v>
      </c>
      <c r="Q60" s="101" t="s">
        <v>151</v>
      </c>
      <c r="R60" s="101" t="s">
        <v>151</v>
      </c>
      <c r="S60" s="101" t="s">
        <v>151</v>
      </c>
      <c r="T60" s="159" t="s">
        <v>151</v>
      </c>
      <c r="U60" s="159" t="s">
        <v>151</v>
      </c>
    </row>
    <row r="61" customFormat="false" ht="15" hidden="false" customHeight="false" outlineLevel="0" collapsed="false">
      <c r="A61" s="69"/>
      <c r="B61" s="101" t="s">
        <v>430</v>
      </c>
      <c r="C61" s="102" t="s">
        <v>151</v>
      </c>
      <c r="D61" s="101" t="s">
        <v>151</v>
      </c>
      <c r="E61" s="101" t="s">
        <v>151</v>
      </c>
      <c r="F61" s="101" t="s">
        <v>151</v>
      </c>
      <c r="G61" s="101" t="s">
        <v>151</v>
      </c>
      <c r="H61" s="101" t="n">
        <v>467</v>
      </c>
      <c r="I61" s="101" t="s">
        <v>151</v>
      </c>
      <c r="J61" s="101" t="n">
        <v>136</v>
      </c>
      <c r="K61" s="101" t="s">
        <v>151</v>
      </c>
      <c r="L61" s="101" t="s">
        <v>151</v>
      </c>
      <c r="M61" s="101" t="s">
        <v>151</v>
      </c>
      <c r="N61" s="101" t="s">
        <v>151</v>
      </c>
      <c r="O61" s="101" t="s">
        <v>151</v>
      </c>
      <c r="P61" s="105" t="s">
        <v>151</v>
      </c>
      <c r="Q61" s="101" t="s">
        <v>151</v>
      </c>
      <c r="R61" s="101" t="s">
        <v>151</v>
      </c>
      <c r="S61" s="101" t="s">
        <v>151</v>
      </c>
      <c r="T61" s="159" t="s">
        <v>151</v>
      </c>
      <c r="U61" s="159" t="s">
        <v>151</v>
      </c>
    </row>
    <row r="62" customFormat="false" ht="15" hidden="false" customHeight="false" outlineLevel="0" collapsed="false">
      <c r="A62" s="69"/>
      <c r="B62" s="101" t="s">
        <v>431</v>
      </c>
      <c r="C62" s="102" t="s">
        <v>151</v>
      </c>
      <c r="D62" s="151" t="s">
        <v>151</v>
      </c>
      <c r="E62" s="151" t="s">
        <v>151</v>
      </c>
      <c r="F62" s="151" t="s">
        <v>151</v>
      </c>
      <c r="G62" s="151" t="s">
        <v>151</v>
      </c>
      <c r="H62" s="151" t="s">
        <v>151</v>
      </c>
      <c r="I62" s="152" t="s">
        <v>151</v>
      </c>
      <c r="J62" s="152" t="s">
        <v>151</v>
      </c>
      <c r="K62" s="152" t="s">
        <v>151</v>
      </c>
      <c r="L62" s="152" t="s">
        <v>151</v>
      </c>
      <c r="M62" s="152" t="s">
        <v>151</v>
      </c>
      <c r="N62" s="151" t="s">
        <v>151</v>
      </c>
      <c r="O62" s="151" t="n">
        <v>70</v>
      </c>
      <c r="P62" s="106" t="s">
        <v>151</v>
      </c>
      <c r="Q62" s="101" t="s">
        <v>151</v>
      </c>
      <c r="R62" s="101" t="s">
        <v>151</v>
      </c>
      <c r="S62" s="101" t="s">
        <v>151</v>
      </c>
      <c r="T62" s="159" t="s">
        <v>151</v>
      </c>
      <c r="U62" s="159" t="s">
        <v>151</v>
      </c>
    </row>
    <row r="63" customFormat="false" ht="15" hidden="false" customHeight="false" outlineLevel="0" collapsed="false">
      <c r="A63" s="69"/>
      <c r="B63" s="101" t="s">
        <v>432</v>
      </c>
      <c r="C63" s="102" t="s">
        <v>151</v>
      </c>
      <c r="D63" s="101" t="s">
        <v>151</v>
      </c>
      <c r="E63" s="101" t="s">
        <v>151</v>
      </c>
      <c r="F63" s="101" t="s">
        <v>151</v>
      </c>
      <c r="G63" s="101" t="s">
        <v>151</v>
      </c>
      <c r="H63" s="101" t="s">
        <v>151</v>
      </c>
      <c r="I63" s="101" t="s">
        <v>151</v>
      </c>
      <c r="J63" s="101" t="n">
        <v>454</v>
      </c>
      <c r="K63" s="101" t="s">
        <v>151</v>
      </c>
      <c r="L63" s="101" t="s">
        <v>151</v>
      </c>
      <c r="M63" s="101" t="s">
        <v>151</v>
      </c>
      <c r="N63" s="101" t="n">
        <v>31</v>
      </c>
      <c r="O63" s="101" t="s">
        <v>151</v>
      </c>
      <c r="P63" s="106" t="s">
        <v>151</v>
      </c>
      <c r="Q63" s="101" t="s">
        <v>151</v>
      </c>
      <c r="R63" s="101" t="s">
        <v>151</v>
      </c>
      <c r="S63" s="101" t="s">
        <v>151</v>
      </c>
      <c r="T63" s="159" t="s">
        <v>151</v>
      </c>
      <c r="U63" s="159" t="s">
        <v>151</v>
      </c>
    </row>
    <row r="64" customFormat="false" ht="30.75" hidden="false" customHeight="true" outlineLevel="0" collapsed="false">
      <c r="A64" s="69"/>
      <c r="B64" s="128" t="s">
        <v>433</v>
      </c>
      <c r="C64" s="102" t="s">
        <v>151</v>
      </c>
      <c r="D64" s="124" t="s">
        <v>151</v>
      </c>
      <c r="E64" s="124" t="n">
        <v>359</v>
      </c>
      <c r="F64" s="124" t="n">
        <v>736</v>
      </c>
      <c r="G64" s="153" t="n">
        <v>1221</v>
      </c>
      <c r="H64" s="153" t="n">
        <v>3333</v>
      </c>
      <c r="I64" s="124" t="n">
        <v>773</v>
      </c>
      <c r="J64" s="153" t="n">
        <v>1612</v>
      </c>
      <c r="K64" s="124" t="n">
        <v>607</v>
      </c>
      <c r="L64" s="124" t="n">
        <v>248</v>
      </c>
      <c r="M64" s="124" t="s">
        <v>151</v>
      </c>
      <c r="N64" s="153" t="n">
        <v>2271</v>
      </c>
      <c r="O64" s="124" t="n">
        <v>464</v>
      </c>
      <c r="P64" s="107" t="n">
        <v>352.07</v>
      </c>
      <c r="Q64" s="124" t="s">
        <v>368</v>
      </c>
      <c r="R64" s="124" t="n">
        <v>566.83</v>
      </c>
      <c r="S64" s="124" t="s">
        <v>378</v>
      </c>
      <c r="T64" s="161" t="s">
        <v>151</v>
      </c>
      <c r="U64" s="161" t="s">
        <v>151</v>
      </c>
    </row>
    <row r="65" customFormat="false" ht="15" hidden="false" customHeight="false" outlineLevel="0" collapsed="false">
      <c r="A65" s="69"/>
      <c r="B65" s="101" t="s">
        <v>151</v>
      </c>
      <c r="C65" s="102" t="s">
        <v>151</v>
      </c>
      <c r="D65" s="101" t="s">
        <v>151</v>
      </c>
      <c r="E65" s="101" t="s">
        <v>151</v>
      </c>
      <c r="F65" s="101" t="s">
        <v>151</v>
      </c>
      <c r="G65" s="101" t="s">
        <v>151</v>
      </c>
      <c r="H65" s="101" t="s">
        <v>151</v>
      </c>
      <c r="I65" s="101" t="s">
        <v>151</v>
      </c>
      <c r="J65" s="101" t="s">
        <v>151</v>
      </c>
      <c r="K65" s="101" t="s">
        <v>151</v>
      </c>
      <c r="L65" s="101" t="s">
        <v>151</v>
      </c>
      <c r="M65" s="101" t="s">
        <v>151</v>
      </c>
      <c r="N65" s="101" t="s">
        <v>151</v>
      </c>
      <c r="O65" s="101" t="s">
        <v>151</v>
      </c>
      <c r="P65" s="106" t="s">
        <v>151</v>
      </c>
      <c r="Q65" s="101" t="s">
        <v>151</v>
      </c>
      <c r="R65" s="101" t="s">
        <v>151</v>
      </c>
      <c r="S65" s="101" t="s">
        <v>151</v>
      </c>
      <c r="T65" s="159" t="s">
        <v>151</v>
      </c>
      <c r="U65" s="159" t="s">
        <v>151</v>
      </c>
    </row>
    <row r="66" customFormat="false" ht="15" hidden="false" customHeight="false" outlineLevel="0" collapsed="false">
      <c r="A66" s="69"/>
      <c r="B66" s="101" t="s">
        <v>373</v>
      </c>
      <c r="C66" s="102" t="s">
        <v>151</v>
      </c>
      <c r="D66" s="101" t="s">
        <v>151</v>
      </c>
      <c r="E66" s="101" t="s">
        <v>151</v>
      </c>
      <c r="F66" s="101" t="n">
        <v>13</v>
      </c>
      <c r="G66" s="101" t="s">
        <v>151</v>
      </c>
      <c r="H66" s="101" t="s">
        <v>151</v>
      </c>
      <c r="I66" s="101" t="s">
        <v>151</v>
      </c>
      <c r="J66" s="101" t="s">
        <v>151</v>
      </c>
      <c r="K66" s="101" t="n">
        <v>13</v>
      </c>
      <c r="L66" s="101" t="s">
        <v>151</v>
      </c>
      <c r="M66" s="101" t="s">
        <v>151</v>
      </c>
      <c r="N66" s="101" t="s">
        <v>151</v>
      </c>
      <c r="O66" s="101" t="s">
        <v>151</v>
      </c>
      <c r="P66" s="105" t="s">
        <v>151</v>
      </c>
      <c r="Q66" s="101" t="s">
        <v>151</v>
      </c>
      <c r="R66" s="101" t="s">
        <v>151</v>
      </c>
      <c r="S66" s="101" t="s">
        <v>151</v>
      </c>
      <c r="T66" s="159" t="s">
        <v>151</v>
      </c>
      <c r="U66" s="159" t="s">
        <v>151</v>
      </c>
    </row>
    <row r="67" customFormat="false" ht="20.25" hidden="false" customHeight="true" outlineLevel="0" collapsed="false">
      <c r="A67" s="69"/>
      <c r="B67" s="101" t="s">
        <v>435</v>
      </c>
      <c r="C67" s="102" t="s">
        <v>151</v>
      </c>
      <c r="D67" s="101" t="s">
        <v>151</v>
      </c>
      <c r="E67" s="101" t="n">
        <v>94</v>
      </c>
      <c r="F67" s="101" t="s">
        <v>151</v>
      </c>
      <c r="G67" s="101" t="n">
        <v>145</v>
      </c>
      <c r="H67" s="101" t="s">
        <v>151</v>
      </c>
      <c r="I67" s="101" t="s">
        <v>151</v>
      </c>
      <c r="J67" s="101" t="s">
        <v>151</v>
      </c>
      <c r="K67" s="101" t="s">
        <v>151</v>
      </c>
      <c r="L67" s="101" t="s">
        <v>151</v>
      </c>
      <c r="M67" s="101" t="s">
        <v>151</v>
      </c>
      <c r="N67" s="101" t="s">
        <v>151</v>
      </c>
      <c r="O67" s="101" t="s">
        <v>151</v>
      </c>
      <c r="P67" s="105" t="s">
        <v>151</v>
      </c>
      <c r="Q67" s="101" t="s">
        <v>151</v>
      </c>
      <c r="R67" s="101" t="s">
        <v>151</v>
      </c>
      <c r="S67" s="101" t="s">
        <v>151</v>
      </c>
      <c r="T67" s="159" t="s">
        <v>151</v>
      </c>
      <c r="U67" s="159" t="s">
        <v>151</v>
      </c>
    </row>
    <row r="68" customFormat="false" ht="15" hidden="false" customHeight="false" outlineLevel="0" collapsed="false">
      <c r="A68" s="69"/>
      <c r="B68" s="101" t="s">
        <v>436</v>
      </c>
      <c r="C68" s="102" t="s">
        <v>151</v>
      </c>
      <c r="D68" s="101" t="s">
        <v>151</v>
      </c>
      <c r="E68" s="101" t="n">
        <v>100</v>
      </c>
      <c r="F68" s="101" t="n">
        <v>150</v>
      </c>
      <c r="G68" s="101" t="s">
        <v>151</v>
      </c>
      <c r="H68" s="101" t="s">
        <v>151</v>
      </c>
      <c r="I68" s="101" t="n">
        <v>42</v>
      </c>
      <c r="J68" s="101" t="n">
        <v>156</v>
      </c>
      <c r="K68" s="101" t="s">
        <v>151</v>
      </c>
      <c r="L68" s="101" t="s">
        <v>151</v>
      </c>
      <c r="M68" s="101" t="s">
        <v>151</v>
      </c>
      <c r="N68" s="101" t="s">
        <v>151</v>
      </c>
      <c r="O68" s="101" t="s">
        <v>151</v>
      </c>
      <c r="P68" s="105" t="s">
        <v>151</v>
      </c>
      <c r="Q68" s="101" t="s">
        <v>151</v>
      </c>
      <c r="R68" s="101" t="s">
        <v>151</v>
      </c>
      <c r="S68" s="101" t="s">
        <v>151</v>
      </c>
      <c r="T68" s="159" t="s">
        <v>151</v>
      </c>
      <c r="U68" s="159" t="s">
        <v>151</v>
      </c>
    </row>
    <row r="69" customFormat="false" ht="20.25" hidden="false" customHeight="true" outlineLevel="0" collapsed="false">
      <c r="A69" s="69"/>
      <c r="B69" s="101" t="s">
        <v>437</v>
      </c>
      <c r="C69" s="102" t="s">
        <v>151</v>
      </c>
      <c r="D69" s="151" t="n">
        <v>0</v>
      </c>
      <c r="E69" s="151" t="s">
        <v>151</v>
      </c>
      <c r="F69" s="151" t="s">
        <v>151</v>
      </c>
      <c r="G69" s="151" t="s">
        <v>151</v>
      </c>
      <c r="H69" s="151" t="s">
        <v>151</v>
      </c>
      <c r="I69" s="151" t="s">
        <v>151</v>
      </c>
      <c r="J69" s="152" t="s">
        <v>151</v>
      </c>
      <c r="K69" s="151" t="s">
        <v>151</v>
      </c>
      <c r="L69" s="151" t="s">
        <v>151</v>
      </c>
      <c r="M69" s="151" t="s">
        <v>151</v>
      </c>
      <c r="N69" s="151" t="s">
        <v>151</v>
      </c>
      <c r="O69" s="151" t="s">
        <v>151</v>
      </c>
      <c r="P69" s="105" t="s">
        <v>151</v>
      </c>
      <c r="Q69" s="149" t="n">
        <v>81.52</v>
      </c>
      <c r="R69" s="101" t="s">
        <v>151</v>
      </c>
      <c r="S69" s="101" t="s">
        <v>151</v>
      </c>
      <c r="T69" s="159" t="s">
        <v>151</v>
      </c>
      <c r="U69" s="159" t="s">
        <v>151</v>
      </c>
    </row>
    <row r="70" customFormat="false" ht="20.25" hidden="false" customHeight="true" outlineLevel="0" collapsed="false">
      <c r="A70" s="69"/>
      <c r="B70" s="101" t="s">
        <v>438</v>
      </c>
      <c r="C70" s="102" t="s">
        <v>151</v>
      </c>
      <c r="D70" s="101" t="s">
        <v>151</v>
      </c>
      <c r="E70" s="101" t="s">
        <v>151</v>
      </c>
      <c r="F70" s="101" t="s">
        <v>151</v>
      </c>
      <c r="G70" s="101" t="s">
        <v>151</v>
      </c>
      <c r="H70" s="101" t="s">
        <v>151</v>
      </c>
      <c r="I70" s="101" t="n">
        <v>1</v>
      </c>
      <c r="J70" s="101" t="s">
        <v>151</v>
      </c>
      <c r="K70" s="101" t="s">
        <v>151</v>
      </c>
      <c r="L70" s="101" t="s">
        <v>151</v>
      </c>
      <c r="M70" s="101" t="s">
        <v>151</v>
      </c>
      <c r="N70" s="101" t="s">
        <v>151</v>
      </c>
      <c r="O70" s="101" t="s">
        <v>151</v>
      </c>
      <c r="P70" s="127" t="n">
        <v>2</v>
      </c>
      <c r="Q70" s="149" t="n">
        <v>1</v>
      </c>
      <c r="R70" s="149" t="n">
        <v>1</v>
      </c>
      <c r="S70" s="101" t="s">
        <v>151</v>
      </c>
      <c r="T70" s="159" t="s">
        <v>151</v>
      </c>
      <c r="U70" s="159" t="s">
        <v>151</v>
      </c>
    </row>
    <row r="71" customFormat="false" ht="30.75" hidden="false" customHeight="true" outlineLevel="0" collapsed="false">
      <c r="A71" s="69"/>
      <c r="B71" s="128" t="s">
        <v>439</v>
      </c>
      <c r="C71" s="102" t="s">
        <v>151</v>
      </c>
      <c r="D71" s="124" t="s">
        <v>151</v>
      </c>
      <c r="E71" s="124" t="n">
        <v>194</v>
      </c>
      <c r="F71" s="124" t="n">
        <v>163</v>
      </c>
      <c r="G71" s="124" t="n">
        <v>145</v>
      </c>
      <c r="H71" s="124" t="s">
        <v>151</v>
      </c>
      <c r="I71" s="124" t="n">
        <v>43</v>
      </c>
      <c r="J71" s="124" t="n">
        <v>156</v>
      </c>
      <c r="K71" s="124" t="n">
        <v>13</v>
      </c>
      <c r="L71" s="124" t="s">
        <v>151</v>
      </c>
      <c r="M71" s="124" t="s">
        <v>151</v>
      </c>
      <c r="N71" s="124" t="s">
        <v>151</v>
      </c>
      <c r="O71" s="124" t="s">
        <v>151</v>
      </c>
      <c r="P71" s="107" t="n">
        <v>2</v>
      </c>
      <c r="Q71" s="124" t="n">
        <v>82.52</v>
      </c>
      <c r="R71" s="124" t="n">
        <v>1</v>
      </c>
      <c r="S71" s="124" t="s">
        <v>378</v>
      </c>
      <c r="T71" s="141" t="s">
        <v>151</v>
      </c>
      <c r="U71" s="141" t="s">
        <v>151</v>
      </c>
    </row>
    <row r="72" customFormat="false" ht="15" hidden="false" customHeight="false" outlineLevel="0" collapsed="false">
      <c r="A72" s="69"/>
      <c r="B72" s="129" t="s">
        <v>151</v>
      </c>
      <c r="C72" s="102" t="s">
        <v>151</v>
      </c>
      <c r="D72" s="101" t="s">
        <v>151</v>
      </c>
      <c r="E72" s="101" t="s">
        <v>151</v>
      </c>
      <c r="F72" s="101" t="s">
        <v>151</v>
      </c>
      <c r="G72" s="101" t="s">
        <v>151</v>
      </c>
      <c r="H72" s="101" t="s">
        <v>151</v>
      </c>
      <c r="I72" s="101" t="s">
        <v>151</v>
      </c>
      <c r="J72" s="101" t="s">
        <v>151</v>
      </c>
      <c r="K72" s="101" t="s">
        <v>151</v>
      </c>
      <c r="L72" s="101" t="s">
        <v>151</v>
      </c>
      <c r="M72" s="101" t="s">
        <v>151</v>
      </c>
      <c r="N72" s="101" t="s">
        <v>151</v>
      </c>
      <c r="O72" s="101" t="s">
        <v>151</v>
      </c>
      <c r="P72" s="106" t="s">
        <v>151</v>
      </c>
      <c r="Q72" s="101" t="s">
        <v>151</v>
      </c>
      <c r="R72" s="101" t="s">
        <v>151</v>
      </c>
      <c r="S72" s="101" t="s">
        <v>151</v>
      </c>
      <c r="T72" s="159" t="s">
        <v>151</v>
      </c>
      <c r="U72" s="159" t="s">
        <v>151</v>
      </c>
    </row>
    <row r="73" customFormat="false" ht="15" hidden="false" customHeight="false" outlineLevel="0" collapsed="false">
      <c r="A73" s="69"/>
      <c r="B73" s="101" t="s">
        <v>262</v>
      </c>
      <c r="C73" s="102" t="s">
        <v>151</v>
      </c>
      <c r="D73" s="101" t="s">
        <v>151</v>
      </c>
      <c r="E73" s="101" t="s">
        <v>151</v>
      </c>
      <c r="F73" s="101" t="s">
        <v>151</v>
      </c>
      <c r="G73" s="101" t="s">
        <v>151</v>
      </c>
      <c r="H73" s="101" t="s">
        <v>151</v>
      </c>
      <c r="I73" s="101" t="s">
        <v>151</v>
      </c>
      <c r="J73" s="101" t="n">
        <v>92</v>
      </c>
      <c r="K73" s="101" t="s">
        <v>151</v>
      </c>
      <c r="L73" s="101" t="s">
        <v>151</v>
      </c>
      <c r="M73" s="101" t="s">
        <v>151</v>
      </c>
      <c r="N73" s="101" t="s">
        <v>151</v>
      </c>
      <c r="O73" s="101" t="s">
        <v>151</v>
      </c>
      <c r="P73" s="106" t="s">
        <v>151</v>
      </c>
      <c r="Q73" s="101" t="s">
        <v>151</v>
      </c>
      <c r="R73" s="101" t="s">
        <v>151</v>
      </c>
      <c r="S73" s="101" t="s">
        <v>151</v>
      </c>
      <c r="T73" s="162" t="s">
        <v>151</v>
      </c>
      <c r="U73" s="162" t="s">
        <v>151</v>
      </c>
    </row>
    <row r="74" customFormat="false" ht="15" hidden="false" customHeight="false" outlineLevel="0" collapsed="false">
      <c r="A74" s="69"/>
      <c r="B74" s="101" t="s">
        <v>440</v>
      </c>
      <c r="C74" s="102" t="s">
        <v>151</v>
      </c>
      <c r="D74" s="101" t="s">
        <v>151</v>
      </c>
      <c r="E74" s="101" t="s">
        <v>151</v>
      </c>
      <c r="F74" s="101" t="s">
        <v>151</v>
      </c>
      <c r="G74" s="101" t="s">
        <v>151</v>
      </c>
      <c r="H74" s="101" t="s">
        <v>151</v>
      </c>
      <c r="I74" s="101" t="s">
        <v>151</v>
      </c>
      <c r="J74" s="101" t="s">
        <v>151</v>
      </c>
      <c r="K74" s="101" t="s">
        <v>151</v>
      </c>
      <c r="L74" s="101" t="s">
        <v>151</v>
      </c>
      <c r="M74" s="101" t="s">
        <v>151</v>
      </c>
      <c r="N74" s="101" t="s">
        <v>151</v>
      </c>
      <c r="O74" s="101" t="s">
        <v>151</v>
      </c>
      <c r="P74" s="106" t="s">
        <v>151</v>
      </c>
      <c r="Q74" s="101" t="s">
        <v>151</v>
      </c>
      <c r="R74" s="101" t="s">
        <v>151</v>
      </c>
      <c r="S74" s="101" t="s">
        <v>151</v>
      </c>
      <c r="T74" s="159" t="s">
        <v>151</v>
      </c>
      <c r="U74" s="159" t="s">
        <v>151</v>
      </c>
    </row>
    <row r="75" customFormat="false" ht="15" hidden="false" customHeight="false" outlineLevel="0" collapsed="false">
      <c r="A75" s="69"/>
      <c r="B75" s="101" t="s">
        <v>441</v>
      </c>
      <c r="C75" s="102" t="s">
        <v>151</v>
      </c>
      <c r="D75" s="101" t="s">
        <v>151</v>
      </c>
      <c r="E75" s="101" t="s">
        <v>151</v>
      </c>
      <c r="F75" s="101" t="s">
        <v>151</v>
      </c>
      <c r="G75" s="101" t="s">
        <v>151</v>
      </c>
      <c r="H75" s="101" t="s">
        <v>151</v>
      </c>
      <c r="I75" s="101" t="s">
        <v>151</v>
      </c>
      <c r="J75" s="101" t="n">
        <v>106</v>
      </c>
      <c r="K75" s="101" t="n">
        <v>13</v>
      </c>
      <c r="L75" s="101" t="n">
        <v>118</v>
      </c>
      <c r="M75" s="101" t="s">
        <v>151</v>
      </c>
      <c r="N75" s="101" t="s">
        <v>151</v>
      </c>
      <c r="O75" s="101" t="s">
        <v>151</v>
      </c>
      <c r="P75" s="106" t="s">
        <v>151</v>
      </c>
      <c r="Q75" s="101" t="s">
        <v>151</v>
      </c>
      <c r="R75" s="101" t="s">
        <v>151</v>
      </c>
      <c r="S75" s="101" t="s">
        <v>151</v>
      </c>
      <c r="T75" s="159" t="s">
        <v>151</v>
      </c>
      <c r="U75" s="159" t="s">
        <v>151</v>
      </c>
    </row>
    <row r="76" customFormat="false" ht="30.75" hidden="false" customHeight="true" outlineLevel="0" collapsed="false">
      <c r="A76" s="69"/>
      <c r="B76" s="128" t="s">
        <v>442</v>
      </c>
      <c r="C76" s="102" t="s">
        <v>151</v>
      </c>
      <c r="D76" s="124" t="s">
        <v>151</v>
      </c>
      <c r="E76" s="124" t="s">
        <v>151</v>
      </c>
      <c r="F76" s="124" t="s">
        <v>151</v>
      </c>
      <c r="G76" s="124" t="s">
        <v>151</v>
      </c>
      <c r="H76" s="124" t="s">
        <v>151</v>
      </c>
      <c r="I76" s="124" t="s">
        <v>151</v>
      </c>
      <c r="J76" s="124" t="n">
        <v>197</v>
      </c>
      <c r="K76" s="124" t="n">
        <v>13</v>
      </c>
      <c r="L76" s="124" t="n">
        <v>118</v>
      </c>
      <c r="M76" s="124" t="s">
        <v>151</v>
      </c>
      <c r="N76" s="124" t="s">
        <v>151</v>
      </c>
      <c r="O76" s="124" t="s">
        <v>151</v>
      </c>
      <c r="P76" s="107" t="s">
        <v>378</v>
      </c>
      <c r="Q76" s="124" t="s">
        <v>368</v>
      </c>
      <c r="R76" s="124" t="s">
        <v>368</v>
      </c>
      <c r="S76" s="124" t="s">
        <v>378</v>
      </c>
      <c r="T76" s="141" t="s">
        <v>151</v>
      </c>
      <c r="U76" s="141" t="s">
        <v>151</v>
      </c>
    </row>
    <row r="77" customFormat="false" ht="15" hidden="false" customHeight="false" outlineLevel="0" collapsed="false">
      <c r="A77" s="69"/>
      <c r="B77" s="102" t="s">
        <v>151</v>
      </c>
      <c r="C77" s="102" t="s">
        <v>151</v>
      </c>
      <c r="D77" s="102" t="s">
        <v>151</v>
      </c>
      <c r="E77" s="102" t="s">
        <v>151</v>
      </c>
      <c r="F77" s="102" t="s">
        <v>151</v>
      </c>
      <c r="G77" s="102" t="s">
        <v>151</v>
      </c>
      <c r="H77" s="102" t="s">
        <v>151</v>
      </c>
      <c r="I77" s="102" t="s">
        <v>151</v>
      </c>
      <c r="J77" s="102" t="s">
        <v>151</v>
      </c>
      <c r="K77" s="102" t="s">
        <v>151</v>
      </c>
      <c r="L77" s="102" t="s">
        <v>151</v>
      </c>
      <c r="M77" s="102" t="s">
        <v>151</v>
      </c>
      <c r="N77" s="102" t="s">
        <v>151</v>
      </c>
      <c r="O77" s="102" t="s">
        <v>151</v>
      </c>
      <c r="P77" s="102" t="s">
        <v>151</v>
      </c>
      <c r="Q77" s="102" t="s">
        <v>151</v>
      </c>
      <c r="R77" s="102" t="s">
        <v>151</v>
      </c>
      <c r="S77" s="102" t="s">
        <v>151</v>
      </c>
      <c r="T77" s="144" t="s">
        <v>151</v>
      </c>
      <c r="U77" s="144" t="s">
        <v>151</v>
      </c>
    </row>
    <row r="78" customFormat="false" ht="20.25" hidden="false" customHeight="true" outlineLevel="0" collapsed="false">
      <c r="A78" s="69"/>
      <c r="B78" s="128" t="s">
        <v>444</v>
      </c>
      <c r="C78" s="102" t="s">
        <v>151</v>
      </c>
      <c r="D78" s="132" t="n">
        <v>0</v>
      </c>
      <c r="E78" s="163" t="n">
        <v>17002</v>
      </c>
      <c r="F78" s="163" t="n">
        <v>6768</v>
      </c>
      <c r="G78" s="163" t="n">
        <v>8220</v>
      </c>
      <c r="H78" s="163" t="n">
        <v>7157</v>
      </c>
      <c r="I78" s="163" t="n">
        <v>5611</v>
      </c>
      <c r="J78" s="163" t="n">
        <v>22173</v>
      </c>
      <c r="K78" s="163" t="n">
        <v>6137</v>
      </c>
      <c r="L78" s="163" t="n">
        <v>1782</v>
      </c>
      <c r="M78" s="132" t="n">
        <v>0</v>
      </c>
      <c r="N78" s="163" t="n">
        <v>3332</v>
      </c>
      <c r="O78" s="132" t="n">
        <v>464</v>
      </c>
      <c r="P78" s="131" t="n">
        <v>3085.78</v>
      </c>
      <c r="Q78" s="131" t="n">
        <v>4492.3</v>
      </c>
      <c r="R78" s="131" t="n">
        <v>2308.09</v>
      </c>
      <c r="S78" s="131" t="n">
        <v>5759.37</v>
      </c>
      <c r="T78" s="132" t="s">
        <v>151</v>
      </c>
      <c r="U78" s="164" t="s">
        <v>151</v>
      </c>
    </row>
    <row r="79" customFormat="false" ht="20.25" hidden="false" customHeight="true" outlineLevel="0" collapsed="false">
      <c r="A79" s="69"/>
      <c r="B79" s="128" t="s">
        <v>445</v>
      </c>
      <c r="C79" s="102" t="s">
        <v>151</v>
      </c>
      <c r="D79" s="165" t="n">
        <v>25092</v>
      </c>
      <c r="E79" s="165" t="n">
        <v>-16511</v>
      </c>
      <c r="F79" s="165" t="n">
        <v>10052</v>
      </c>
      <c r="G79" s="164" t="n">
        <v>796</v>
      </c>
      <c r="H79" s="165" t="n">
        <v>-6068</v>
      </c>
      <c r="I79" s="165" t="n">
        <v>53741</v>
      </c>
      <c r="J79" s="164" t="n">
        <v>-402</v>
      </c>
      <c r="K79" s="165" t="n">
        <v>25784</v>
      </c>
      <c r="L79" s="165" t="n">
        <v>5550</v>
      </c>
      <c r="M79" s="165" t="n">
        <v>39378</v>
      </c>
      <c r="N79" s="165" t="n">
        <v>47306</v>
      </c>
      <c r="O79" s="165" t="n">
        <v>27062</v>
      </c>
      <c r="P79" s="131" t="n">
        <v>22006.22</v>
      </c>
      <c r="Q79" s="131" t="n">
        <v>-4328.3</v>
      </c>
      <c r="R79" s="131" t="n">
        <v>14511.91</v>
      </c>
      <c r="S79" s="131" t="n">
        <v>3256.63</v>
      </c>
      <c r="T79" s="166" t="s">
        <v>151</v>
      </c>
      <c r="U79" s="166" t="s">
        <v>151</v>
      </c>
    </row>
    <row r="80" customFormat="false" ht="15" hidden="false" customHeight="false" outlineLevel="0" collapsed="false">
      <c r="A80" s="69"/>
      <c r="B80" s="102" t="s">
        <v>151</v>
      </c>
      <c r="C80" s="102" t="s">
        <v>151</v>
      </c>
      <c r="D80" s="102" t="s">
        <v>151</v>
      </c>
      <c r="E80" s="102" t="s">
        <v>151</v>
      </c>
      <c r="F80" s="102" t="s">
        <v>151</v>
      </c>
      <c r="G80" s="102" t="s">
        <v>151</v>
      </c>
      <c r="H80" s="102" t="s">
        <v>151</v>
      </c>
      <c r="I80" s="102" t="s">
        <v>151</v>
      </c>
      <c r="J80" s="102" t="s">
        <v>151</v>
      </c>
      <c r="K80" s="102" t="s">
        <v>151</v>
      </c>
      <c r="L80" s="102" t="s">
        <v>151</v>
      </c>
      <c r="M80" s="102" t="s">
        <v>151</v>
      </c>
      <c r="N80" s="102" t="s">
        <v>151</v>
      </c>
      <c r="O80" s="102" t="s">
        <v>151</v>
      </c>
      <c r="P80" s="102" t="s">
        <v>151</v>
      </c>
      <c r="Q80" s="102" t="s">
        <v>151</v>
      </c>
      <c r="R80" s="102" t="s">
        <v>151</v>
      </c>
      <c r="S80" s="102" t="s">
        <v>151</v>
      </c>
      <c r="T80" s="144" t="s">
        <v>151</v>
      </c>
      <c r="U80" s="144" t="s">
        <v>151</v>
      </c>
    </row>
    <row r="81" customFormat="false" ht="15" hidden="false" customHeight="false" outlineLevel="0" collapsed="false">
      <c r="A81" s="69"/>
      <c r="B81" s="101" t="s">
        <v>446</v>
      </c>
      <c r="C81" s="102" t="s">
        <v>151</v>
      </c>
      <c r="D81" s="101" t="s">
        <v>151</v>
      </c>
      <c r="E81" s="101" t="s">
        <v>151</v>
      </c>
      <c r="F81" s="101" t="s">
        <v>151</v>
      </c>
      <c r="G81" s="101" t="s">
        <v>151</v>
      </c>
      <c r="H81" s="101" t="s">
        <v>151</v>
      </c>
      <c r="I81" s="101" t="s">
        <v>151</v>
      </c>
      <c r="J81" s="101" t="s">
        <v>151</v>
      </c>
      <c r="K81" s="101" t="s">
        <v>151</v>
      </c>
      <c r="L81" s="101" t="s">
        <v>151</v>
      </c>
      <c r="M81" s="101" t="s">
        <v>151</v>
      </c>
      <c r="N81" s="101" t="s">
        <v>151</v>
      </c>
      <c r="O81" s="148" t="n">
        <v>23074</v>
      </c>
      <c r="P81" s="105" t="s">
        <v>151</v>
      </c>
      <c r="Q81" s="110" t="n">
        <v>15529.06</v>
      </c>
      <c r="R81" s="110" t="n">
        <v>2546.34</v>
      </c>
      <c r="S81" s="110" t="n">
        <v>10145.3</v>
      </c>
      <c r="T81" s="106" t="s">
        <v>151</v>
      </c>
      <c r="U81" s="162" t="s">
        <v>151</v>
      </c>
    </row>
    <row r="82" customFormat="false" ht="20.25" hidden="false" customHeight="true" outlineLevel="0" collapsed="false">
      <c r="A82" s="69"/>
      <c r="B82" s="101" t="s">
        <v>447</v>
      </c>
      <c r="C82" s="102" t="s">
        <v>151</v>
      </c>
      <c r="D82" s="101" t="s">
        <v>151</v>
      </c>
      <c r="E82" s="101" t="s">
        <v>151</v>
      </c>
      <c r="F82" s="101" t="n">
        <v>335</v>
      </c>
      <c r="G82" s="101" t="s">
        <v>151</v>
      </c>
      <c r="H82" s="101" t="s">
        <v>151</v>
      </c>
      <c r="I82" s="148" t="n">
        <v>9840</v>
      </c>
      <c r="J82" s="101" t="s">
        <v>151</v>
      </c>
      <c r="K82" s="148" t="n">
        <v>2380</v>
      </c>
      <c r="L82" s="148" t="n">
        <v>8446</v>
      </c>
      <c r="M82" s="101" t="n">
        <v>308</v>
      </c>
      <c r="N82" s="101" t="s">
        <v>151</v>
      </c>
      <c r="O82" s="101" t="s">
        <v>151</v>
      </c>
      <c r="P82" s="105" t="s">
        <v>151</v>
      </c>
      <c r="Q82" s="105" t="s">
        <v>151</v>
      </c>
      <c r="R82" s="105" t="s">
        <v>151</v>
      </c>
      <c r="S82" s="105" t="s">
        <v>151</v>
      </c>
      <c r="T82" s="159" t="s">
        <v>151</v>
      </c>
      <c r="U82" s="159" t="s">
        <v>151</v>
      </c>
    </row>
    <row r="83" customFormat="false" ht="15" hidden="false" customHeight="false" outlineLevel="0" collapsed="false">
      <c r="A83" s="69"/>
      <c r="B83" s="101" t="s">
        <v>448</v>
      </c>
      <c r="C83" s="102" t="s">
        <v>151</v>
      </c>
      <c r="D83" s="101" t="s">
        <v>151</v>
      </c>
      <c r="E83" s="101" t="s">
        <v>151</v>
      </c>
      <c r="F83" s="101" t="s">
        <v>151</v>
      </c>
      <c r="G83" s="101" t="s">
        <v>151</v>
      </c>
      <c r="H83" s="101" t="s">
        <v>151</v>
      </c>
      <c r="I83" s="101" t="s">
        <v>151</v>
      </c>
      <c r="J83" s="148" t="n">
        <v>3230</v>
      </c>
      <c r="K83" s="148" t="n">
        <v>1623</v>
      </c>
      <c r="L83" s="148" t="n">
        <v>1186</v>
      </c>
      <c r="M83" s="101" t="s">
        <v>151</v>
      </c>
      <c r="N83" s="101" t="s">
        <v>151</v>
      </c>
      <c r="O83" s="101" t="s">
        <v>151</v>
      </c>
      <c r="P83" s="105" t="s">
        <v>151</v>
      </c>
      <c r="Q83" s="105" t="s">
        <v>151</v>
      </c>
      <c r="R83" s="105" t="s">
        <v>151</v>
      </c>
      <c r="S83" s="105" t="s">
        <v>151</v>
      </c>
      <c r="T83" s="159" t="s">
        <v>151</v>
      </c>
      <c r="U83" s="159" t="s">
        <v>151</v>
      </c>
    </row>
    <row r="84" customFormat="false" ht="20.25" hidden="false" customHeight="true" outlineLevel="0" collapsed="false">
      <c r="A84" s="69"/>
      <c r="B84" s="101" t="s">
        <v>449</v>
      </c>
      <c r="C84" s="102" t="s">
        <v>151</v>
      </c>
      <c r="D84" s="101" t="s">
        <v>151</v>
      </c>
      <c r="E84" s="101" t="s">
        <v>151</v>
      </c>
      <c r="F84" s="101" t="s">
        <v>151</v>
      </c>
      <c r="G84" s="101" t="s">
        <v>151</v>
      </c>
      <c r="H84" s="101" t="s">
        <v>151</v>
      </c>
      <c r="I84" s="101" t="s">
        <v>151</v>
      </c>
      <c r="J84" s="101" t="s">
        <v>151</v>
      </c>
      <c r="K84" s="101" t="s">
        <v>151</v>
      </c>
      <c r="L84" s="148" t="n">
        <v>3836</v>
      </c>
      <c r="M84" s="148" t="n">
        <v>3816</v>
      </c>
      <c r="N84" s="101" t="s">
        <v>151</v>
      </c>
      <c r="O84" s="148" t="n">
        <v>11331</v>
      </c>
      <c r="P84" s="105" t="s">
        <v>151</v>
      </c>
      <c r="Q84" s="110" t="n">
        <v>1600.28</v>
      </c>
      <c r="R84" s="110" t="n">
        <v>1600.28</v>
      </c>
      <c r="S84" s="110" t="n">
        <v>3200.55</v>
      </c>
      <c r="T84" s="167" t="s">
        <v>151</v>
      </c>
      <c r="U84" s="159" t="s">
        <v>151</v>
      </c>
    </row>
    <row r="85" customFormat="false" ht="20.25" hidden="false" customHeight="true" outlineLevel="0" collapsed="false">
      <c r="A85" s="69"/>
      <c r="B85" s="101" t="s">
        <v>450</v>
      </c>
      <c r="C85" s="102" t="s">
        <v>151</v>
      </c>
      <c r="D85" s="151" t="n">
        <v>0</v>
      </c>
      <c r="E85" s="151" t="s">
        <v>151</v>
      </c>
      <c r="F85" s="151" t="s">
        <v>151</v>
      </c>
      <c r="G85" s="151" t="s">
        <v>151</v>
      </c>
      <c r="H85" s="151" t="s">
        <v>151</v>
      </c>
      <c r="I85" s="151" t="s">
        <v>151</v>
      </c>
      <c r="J85" s="151" t="s">
        <v>151</v>
      </c>
      <c r="K85" s="151" t="s">
        <v>151</v>
      </c>
      <c r="L85" s="151" t="s">
        <v>151</v>
      </c>
      <c r="M85" s="151" t="s">
        <v>151</v>
      </c>
      <c r="N85" s="151" t="s">
        <v>151</v>
      </c>
      <c r="O85" s="151" t="s">
        <v>151</v>
      </c>
      <c r="P85" s="105" t="s">
        <v>151</v>
      </c>
      <c r="Q85" s="103" t="s">
        <v>151</v>
      </c>
      <c r="R85" s="105" t="n">
        <v>700</v>
      </c>
      <c r="S85" s="105" t="s">
        <v>151</v>
      </c>
      <c r="T85" s="159" t="s">
        <v>151</v>
      </c>
      <c r="U85" s="159" t="s">
        <v>151</v>
      </c>
    </row>
    <row r="86" customFormat="false" ht="15" hidden="false" customHeight="false" outlineLevel="0" collapsed="false">
      <c r="A86" s="69"/>
      <c r="B86" s="101" t="s">
        <v>451</v>
      </c>
      <c r="C86" s="102" t="s">
        <v>151</v>
      </c>
      <c r="D86" s="101" t="s">
        <v>151</v>
      </c>
      <c r="E86" s="101" t="s">
        <v>151</v>
      </c>
      <c r="F86" s="101" t="s">
        <v>151</v>
      </c>
      <c r="G86" s="101" t="s">
        <v>151</v>
      </c>
      <c r="H86" s="101" t="s">
        <v>151</v>
      </c>
      <c r="I86" s="101" t="s">
        <v>151</v>
      </c>
      <c r="J86" s="101" t="s">
        <v>151</v>
      </c>
      <c r="K86" s="101" t="n">
        <v>640</v>
      </c>
      <c r="L86" s="101" t="s">
        <v>151</v>
      </c>
      <c r="M86" s="101" t="s">
        <v>151</v>
      </c>
      <c r="N86" s="101" t="s">
        <v>151</v>
      </c>
      <c r="O86" s="101" t="s">
        <v>151</v>
      </c>
      <c r="P86" s="105" t="s">
        <v>151</v>
      </c>
      <c r="Q86" s="105" t="s">
        <v>151</v>
      </c>
      <c r="R86" s="105" t="s">
        <v>151</v>
      </c>
      <c r="S86" s="105" t="s">
        <v>151</v>
      </c>
      <c r="T86" s="159" t="s">
        <v>151</v>
      </c>
      <c r="U86" s="159" t="s">
        <v>151</v>
      </c>
    </row>
    <row r="87" customFormat="false" ht="15" hidden="false" customHeight="false" outlineLevel="0" collapsed="false">
      <c r="A87" s="69"/>
      <c r="B87" s="101" t="s">
        <v>452</v>
      </c>
      <c r="C87" s="102" t="s">
        <v>151</v>
      </c>
      <c r="D87" s="148" t="n">
        <v>1350</v>
      </c>
      <c r="E87" s="101" t="s">
        <v>151</v>
      </c>
      <c r="F87" s="101" t="s">
        <v>151</v>
      </c>
      <c r="G87" s="101" t="s">
        <v>151</v>
      </c>
      <c r="H87" s="148" t="n">
        <v>1107</v>
      </c>
      <c r="I87" s="101" t="s">
        <v>151</v>
      </c>
      <c r="J87" s="101" t="s">
        <v>151</v>
      </c>
      <c r="K87" s="101" t="n">
        <v>492</v>
      </c>
      <c r="L87" s="101" t="n">
        <v>246</v>
      </c>
      <c r="M87" s="101" t="s">
        <v>151</v>
      </c>
      <c r="N87" s="101" t="n">
        <v>246</v>
      </c>
      <c r="O87" s="101" t="n">
        <v>246</v>
      </c>
      <c r="P87" s="127" t="n">
        <v>246</v>
      </c>
      <c r="Q87" s="127" t="n">
        <v>492</v>
      </c>
      <c r="R87" s="127" t="n">
        <v>246</v>
      </c>
      <c r="S87" s="127" t="n">
        <v>246</v>
      </c>
      <c r="T87" s="167" t="s">
        <v>151</v>
      </c>
      <c r="U87" s="159" t="s">
        <v>151</v>
      </c>
    </row>
    <row r="88" customFormat="false" ht="20.25" hidden="false" customHeight="true" outlineLevel="0" collapsed="false">
      <c r="A88" s="69"/>
      <c r="B88" s="128" t="s">
        <v>453</v>
      </c>
      <c r="C88" s="102" t="s">
        <v>151</v>
      </c>
      <c r="D88" s="153" t="n">
        <v>1350</v>
      </c>
      <c r="E88" s="124" t="s">
        <v>151</v>
      </c>
      <c r="F88" s="124" t="n">
        <v>335</v>
      </c>
      <c r="G88" s="124" t="s">
        <v>151</v>
      </c>
      <c r="H88" s="153" t="n">
        <v>1107</v>
      </c>
      <c r="I88" s="153" t="n">
        <v>9840</v>
      </c>
      <c r="J88" s="153" t="n">
        <v>3230</v>
      </c>
      <c r="K88" s="153" t="n">
        <v>5135</v>
      </c>
      <c r="L88" s="153" t="n">
        <v>13714</v>
      </c>
      <c r="M88" s="153" t="n">
        <v>4124</v>
      </c>
      <c r="N88" s="124" t="n">
        <v>246</v>
      </c>
      <c r="O88" s="153" t="n">
        <v>34651</v>
      </c>
      <c r="P88" s="107" t="n">
        <v>246</v>
      </c>
      <c r="Q88" s="117" t="n">
        <v>17621.34</v>
      </c>
      <c r="R88" s="117" t="n">
        <v>5092.62</v>
      </c>
      <c r="S88" s="117" t="n">
        <v>13591.85</v>
      </c>
      <c r="T88" s="141" t="s">
        <v>151</v>
      </c>
      <c r="U88" s="141" t="s">
        <v>151</v>
      </c>
    </row>
    <row r="89" customFormat="false" ht="15" hidden="false" customHeight="false" outlineLevel="0" collapsed="false">
      <c r="A89" s="69"/>
      <c r="B89" s="101" t="s">
        <v>151</v>
      </c>
      <c r="C89" s="102" t="s">
        <v>151</v>
      </c>
      <c r="D89" s="101" t="s">
        <v>151</v>
      </c>
      <c r="E89" s="101" t="s">
        <v>151</v>
      </c>
      <c r="F89" s="101" t="s">
        <v>151</v>
      </c>
      <c r="G89" s="101" t="s">
        <v>151</v>
      </c>
      <c r="H89" s="101" t="s">
        <v>151</v>
      </c>
      <c r="I89" s="101" t="s">
        <v>151</v>
      </c>
      <c r="J89" s="101" t="s">
        <v>151</v>
      </c>
      <c r="K89" s="101" t="s">
        <v>151</v>
      </c>
      <c r="L89" s="101" t="s">
        <v>151</v>
      </c>
      <c r="M89" s="101" t="s">
        <v>151</v>
      </c>
      <c r="N89" s="101" t="s">
        <v>151</v>
      </c>
      <c r="O89" s="101" t="s">
        <v>151</v>
      </c>
      <c r="P89" s="106" t="s">
        <v>151</v>
      </c>
      <c r="Q89" s="106" t="s">
        <v>151</v>
      </c>
      <c r="R89" s="106" t="s">
        <v>151</v>
      </c>
      <c r="S89" s="106" t="s">
        <v>151</v>
      </c>
      <c r="T89" s="151" t="s">
        <v>151</v>
      </c>
      <c r="U89" s="151" t="s">
        <v>151</v>
      </c>
    </row>
    <row r="90" customFormat="false" ht="30.75" hidden="false" customHeight="true" outlineLevel="0" collapsed="false">
      <c r="A90" s="69"/>
      <c r="B90" s="101" t="s">
        <v>454</v>
      </c>
      <c r="C90" s="102" t="s">
        <v>151</v>
      </c>
      <c r="D90" s="101" t="s">
        <v>151</v>
      </c>
      <c r="E90" s="101" t="s">
        <v>151</v>
      </c>
      <c r="F90" s="101" t="s">
        <v>151</v>
      </c>
      <c r="G90" s="101" t="s">
        <v>151</v>
      </c>
      <c r="H90" s="101" t="s">
        <v>151</v>
      </c>
      <c r="I90" s="101" t="s">
        <v>151</v>
      </c>
      <c r="J90" s="101" t="n">
        <v>225</v>
      </c>
      <c r="K90" s="101" t="s">
        <v>151</v>
      </c>
      <c r="L90" s="101" t="s">
        <v>151</v>
      </c>
      <c r="M90" s="101" t="s">
        <v>151</v>
      </c>
      <c r="N90" s="101" t="s">
        <v>151</v>
      </c>
      <c r="O90" s="101" t="s">
        <v>151</v>
      </c>
      <c r="P90" s="135" t="s">
        <v>151</v>
      </c>
      <c r="Q90" s="135" t="s">
        <v>151</v>
      </c>
      <c r="R90" s="135" t="s">
        <v>151</v>
      </c>
      <c r="S90" s="135" t="s">
        <v>151</v>
      </c>
      <c r="T90" s="151" t="s">
        <v>151</v>
      </c>
      <c r="U90" s="151" t="s">
        <v>151</v>
      </c>
    </row>
    <row r="91" customFormat="false" ht="20.25" hidden="false" customHeight="true" outlineLevel="0" collapsed="false">
      <c r="A91" s="69"/>
      <c r="B91" s="101" t="s">
        <v>455</v>
      </c>
      <c r="C91" s="102" t="s">
        <v>151</v>
      </c>
      <c r="D91" s="101" t="s">
        <v>151</v>
      </c>
      <c r="E91" s="101" t="s">
        <v>151</v>
      </c>
      <c r="F91" s="101" t="s">
        <v>151</v>
      </c>
      <c r="G91" s="101" t="s">
        <v>151</v>
      </c>
      <c r="H91" s="101" t="s">
        <v>151</v>
      </c>
      <c r="I91" s="101" t="n">
        <v>93</v>
      </c>
      <c r="J91" s="101" t="s">
        <v>151</v>
      </c>
      <c r="K91" s="101" t="n">
        <v>90</v>
      </c>
      <c r="L91" s="101" t="n">
        <v>84</v>
      </c>
      <c r="M91" s="101" t="s">
        <v>151</v>
      </c>
      <c r="N91" s="101" t="s">
        <v>151</v>
      </c>
      <c r="O91" s="101" t="s">
        <v>151</v>
      </c>
      <c r="P91" s="135" t="s">
        <v>151</v>
      </c>
      <c r="Q91" s="135" t="s">
        <v>151</v>
      </c>
      <c r="R91" s="135" t="s">
        <v>151</v>
      </c>
      <c r="S91" s="135" t="s">
        <v>151</v>
      </c>
      <c r="T91" s="151" t="s">
        <v>151</v>
      </c>
      <c r="U91" s="151" t="s">
        <v>151</v>
      </c>
    </row>
    <row r="92" customFormat="false" ht="15" hidden="false" customHeight="false" outlineLevel="0" collapsed="false">
      <c r="A92" s="69"/>
      <c r="B92" s="101" t="s">
        <v>456</v>
      </c>
      <c r="C92" s="102" t="s">
        <v>151</v>
      </c>
      <c r="D92" s="101" t="s">
        <v>151</v>
      </c>
      <c r="E92" s="101" t="n">
        <v>332</v>
      </c>
      <c r="F92" s="101" t="s">
        <v>151</v>
      </c>
      <c r="G92" s="101" t="s">
        <v>151</v>
      </c>
      <c r="H92" s="101" t="s">
        <v>151</v>
      </c>
      <c r="I92" s="101" t="s">
        <v>151</v>
      </c>
      <c r="J92" s="101" t="s">
        <v>151</v>
      </c>
      <c r="K92" s="101" t="s">
        <v>151</v>
      </c>
      <c r="L92" s="101" t="s">
        <v>151</v>
      </c>
      <c r="M92" s="101" t="s">
        <v>151</v>
      </c>
      <c r="N92" s="101" t="s">
        <v>151</v>
      </c>
      <c r="O92" s="101" t="s">
        <v>151</v>
      </c>
      <c r="P92" s="135" t="s">
        <v>151</v>
      </c>
      <c r="Q92" s="135" t="s">
        <v>151</v>
      </c>
      <c r="R92" s="135" t="s">
        <v>151</v>
      </c>
      <c r="S92" s="135" t="n">
        <v>365.27</v>
      </c>
      <c r="T92" s="151" t="s">
        <v>151</v>
      </c>
      <c r="U92" s="151" t="s">
        <v>151</v>
      </c>
    </row>
    <row r="93" customFormat="false" ht="23.25" hidden="false" customHeight="true" outlineLevel="0" collapsed="false">
      <c r="A93" s="69"/>
      <c r="B93" s="101" t="s">
        <v>457</v>
      </c>
      <c r="C93" s="102" t="s">
        <v>151</v>
      </c>
      <c r="D93" s="151" t="n">
        <v>0</v>
      </c>
      <c r="E93" s="151" t="s">
        <v>151</v>
      </c>
      <c r="F93" s="151" t="s">
        <v>151</v>
      </c>
      <c r="G93" s="151" t="s">
        <v>151</v>
      </c>
      <c r="H93" s="151" t="s">
        <v>151</v>
      </c>
      <c r="I93" s="151" t="s">
        <v>151</v>
      </c>
      <c r="J93" s="152" t="s">
        <v>151</v>
      </c>
      <c r="K93" s="151" t="s">
        <v>151</v>
      </c>
      <c r="L93" s="151" t="s">
        <v>151</v>
      </c>
      <c r="M93" s="151" t="s">
        <v>151</v>
      </c>
      <c r="N93" s="151" t="s">
        <v>151</v>
      </c>
      <c r="O93" s="151" t="s">
        <v>151</v>
      </c>
      <c r="P93" s="135" t="s">
        <v>378</v>
      </c>
      <c r="Q93" s="135" t="n">
        <v>197</v>
      </c>
      <c r="R93" s="136" t="n">
        <v>137</v>
      </c>
      <c r="S93" s="137" t="n">
        <v>1780</v>
      </c>
      <c r="T93" s="168" t="s">
        <v>151</v>
      </c>
      <c r="U93" s="151" t="s">
        <v>151</v>
      </c>
    </row>
    <row r="94" customFormat="false" ht="15" hidden="false" customHeight="false" outlineLevel="0" collapsed="false">
      <c r="A94" s="69"/>
      <c r="B94" s="101" t="s">
        <v>458</v>
      </c>
      <c r="C94" s="102" t="s">
        <v>151</v>
      </c>
      <c r="D94" s="151" t="n">
        <v>0</v>
      </c>
      <c r="E94" s="151" t="s">
        <v>151</v>
      </c>
      <c r="F94" s="151" t="s">
        <v>151</v>
      </c>
      <c r="G94" s="151" t="s">
        <v>151</v>
      </c>
      <c r="H94" s="151" t="s">
        <v>151</v>
      </c>
      <c r="I94" s="151" t="s">
        <v>151</v>
      </c>
      <c r="J94" s="151" t="s">
        <v>151</v>
      </c>
      <c r="K94" s="151" t="s">
        <v>151</v>
      </c>
      <c r="L94" s="151" t="s">
        <v>151</v>
      </c>
      <c r="M94" s="151" t="s">
        <v>151</v>
      </c>
      <c r="N94" s="151" t="s">
        <v>151</v>
      </c>
      <c r="O94" s="151" t="s">
        <v>151</v>
      </c>
      <c r="P94" s="137" t="n">
        <v>1038</v>
      </c>
      <c r="Q94" s="135" t="s">
        <v>151</v>
      </c>
      <c r="R94" s="135" t="s">
        <v>151</v>
      </c>
      <c r="S94" s="135" t="s">
        <v>151</v>
      </c>
      <c r="T94" s="151" t="s">
        <v>151</v>
      </c>
      <c r="U94" s="151" t="s">
        <v>151</v>
      </c>
    </row>
    <row r="95" customFormat="false" ht="20.25" hidden="false" customHeight="true" outlineLevel="0" collapsed="false">
      <c r="A95" s="69"/>
      <c r="B95" s="101" t="s">
        <v>44</v>
      </c>
      <c r="C95" s="102" t="s">
        <v>151</v>
      </c>
      <c r="D95" s="151" t="n">
        <v>0</v>
      </c>
      <c r="E95" s="151" t="s">
        <v>151</v>
      </c>
      <c r="F95" s="151" t="s">
        <v>151</v>
      </c>
      <c r="G95" s="151" t="s">
        <v>151</v>
      </c>
      <c r="H95" s="151" t="s">
        <v>151</v>
      </c>
      <c r="I95" s="151" t="s">
        <v>151</v>
      </c>
      <c r="J95" s="151" t="s">
        <v>151</v>
      </c>
      <c r="K95" s="151" t="s">
        <v>151</v>
      </c>
      <c r="L95" s="151" t="s">
        <v>151</v>
      </c>
      <c r="M95" s="151" t="s">
        <v>151</v>
      </c>
      <c r="N95" s="151" t="s">
        <v>151</v>
      </c>
      <c r="O95" s="151" t="s">
        <v>151</v>
      </c>
      <c r="P95" s="137" t="n">
        <v>1350</v>
      </c>
      <c r="Q95" s="135" t="s">
        <v>151</v>
      </c>
      <c r="R95" s="135" t="s">
        <v>151</v>
      </c>
      <c r="S95" s="135" t="s">
        <v>151</v>
      </c>
      <c r="T95" s="151" t="s">
        <v>151</v>
      </c>
      <c r="U95" s="151" t="s">
        <v>151</v>
      </c>
    </row>
    <row r="96" customFormat="false" ht="15" hidden="false" customHeight="false" outlineLevel="0" collapsed="false">
      <c r="A96" s="69"/>
      <c r="B96" s="101" t="s">
        <v>90</v>
      </c>
      <c r="C96" s="102" t="s">
        <v>151</v>
      </c>
      <c r="D96" s="151" t="n">
        <v>0</v>
      </c>
      <c r="E96" s="151" t="s">
        <v>151</v>
      </c>
      <c r="F96" s="151" t="s">
        <v>151</v>
      </c>
      <c r="G96" s="151" t="s">
        <v>151</v>
      </c>
      <c r="H96" s="151" t="s">
        <v>151</v>
      </c>
      <c r="I96" s="151" t="s">
        <v>151</v>
      </c>
      <c r="J96" s="151" t="s">
        <v>151</v>
      </c>
      <c r="K96" s="151" t="s">
        <v>151</v>
      </c>
      <c r="L96" s="151" t="s">
        <v>151</v>
      </c>
      <c r="M96" s="151" t="s">
        <v>151</v>
      </c>
      <c r="N96" s="151" t="s">
        <v>151</v>
      </c>
      <c r="O96" s="151" t="s">
        <v>151</v>
      </c>
      <c r="P96" s="138" t="s">
        <v>378</v>
      </c>
      <c r="Q96" s="135" t="s">
        <v>151</v>
      </c>
      <c r="R96" s="135" t="s">
        <v>151</v>
      </c>
      <c r="S96" s="139" t="n">
        <v>3928.01</v>
      </c>
      <c r="T96" s="151" t="s">
        <v>151</v>
      </c>
      <c r="U96" s="151" t="s">
        <v>151</v>
      </c>
    </row>
    <row r="97" customFormat="false" ht="20.25" hidden="false" customHeight="true" outlineLevel="0" collapsed="false">
      <c r="A97" s="69"/>
      <c r="B97" s="101" t="s">
        <v>459</v>
      </c>
      <c r="C97" s="102" t="s">
        <v>151</v>
      </c>
      <c r="D97" s="151" t="n">
        <v>0</v>
      </c>
      <c r="E97" s="151" t="s">
        <v>151</v>
      </c>
      <c r="F97" s="151" t="s">
        <v>151</v>
      </c>
      <c r="G97" s="151" t="s">
        <v>151</v>
      </c>
      <c r="H97" s="151" t="s">
        <v>151</v>
      </c>
      <c r="I97" s="151" t="s">
        <v>151</v>
      </c>
      <c r="J97" s="151" t="s">
        <v>151</v>
      </c>
      <c r="K97" s="151" t="s">
        <v>151</v>
      </c>
      <c r="L97" s="151" t="s">
        <v>151</v>
      </c>
      <c r="M97" s="151" t="s">
        <v>151</v>
      </c>
      <c r="N97" s="151" t="s">
        <v>151</v>
      </c>
      <c r="O97" s="151" t="s">
        <v>151</v>
      </c>
      <c r="P97" s="140" t="n">
        <v>1638.68</v>
      </c>
      <c r="Q97" s="135" t="s">
        <v>151</v>
      </c>
      <c r="R97" s="135" t="s">
        <v>151</v>
      </c>
      <c r="S97" s="135" t="s">
        <v>151</v>
      </c>
      <c r="T97" s="151" t="s">
        <v>151</v>
      </c>
      <c r="U97" s="151" t="s">
        <v>151</v>
      </c>
    </row>
    <row r="98" customFormat="false" ht="15" hidden="false" customHeight="false" outlineLevel="0" collapsed="false">
      <c r="A98" s="69"/>
      <c r="B98" s="101" t="s">
        <v>49</v>
      </c>
      <c r="C98" s="102" t="s">
        <v>151</v>
      </c>
      <c r="D98" s="151" t="n">
        <v>0</v>
      </c>
      <c r="E98" s="151" t="s">
        <v>151</v>
      </c>
      <c r="F98" s="151" t="s">
        <v>151</v>
      </c>
      <c r="G98" s="151" t="s">
        <v>151</v>
      </c>
      <c r="H98" s="151" t="s">
        <v>151</v>
      </c>
      <c r="I98" s="151" t="s">
        <v>151</v>
      </c>
      <c r="J98" s="151" t="s">
        <v>151</v>
      </c>
      <c r="K98" s="151" t="s">
        <v>151</v>
      </c>
      <c r="L98" s="151" t="s">
        <v>151</v>
      </c>
      <c r="M98" s="151" t="s">
        <v>151</v>
      </c>
      <c r="N98" s="151" t="s">
        <v>151</v>
      </c>
      <c r="O98" s="151" t="s">
        <v>151</v>
      </c>
      <c r="P98" s="136" t="n">
        <v>29.7</v>
      </c>
      <c r="Q98" s="135" t="s">
        <v>151</v>
      </c>
      <c r="R98" s="135" t="s">
        <v>151</v>
      </c>
      <c r="S98" s="135" t="s">
        <v>151</v>
      </c>
      <c r="T98" s="151" t="s">
        <v>151</v>
      </c>
      <c r="U98" s="151" t="s">
        <v>151</v>
      </c>
    </row>
    <row r="99" customFormat="false" ht="15" hidden="false" customHeight="false" outlineLevel="0" collapsed="false">
      <c r="A99" s="69"/>
      <c r="B99" s="101" t="s">
        <v>460</v>
      </c>
      <c r="C99" s="102" t="s">
        <v>151</v>
      </c>
      <c r="D99" s="101" t="s">
        <v>151</v>
      </c>
      <c r="E99" s="101" t="s">
        <v>151</v>
      </c>
      <c r="F99" s="101" t="s">
        <v>151</v>
      </c>
      <c r="G99" s="101" t="s">
        <v>151</v>
      </c>
      <c r="H99" s="101" t="s">
        <v>151</v>
      </c>
      <c r="I99" s="101" t="s">
        <v>151</v>
      </c>
      <c r="J99" s="101" t="n">
        <v>25</v>
      </c>
      <c r="K99" s="101" t="s">
        <v>151</v>
      </c>
      <c r="L99" s="101" t="s">
        <v>151</v>
      </c>
      <c r="M99" s="101" t="s">
        <v>151</v>
      </c>
      <c r="N99" s="101" t="s">
        <v>151</v>
      </c>
      <c r="O99" s="101" t="s">
        <v>151</v>
      </c>
      <c r="P99" s="135" t="s">
        <v>151</v>
      </c>
      <c r="Q99" s="135" t="s">
        <v>151</v>
      </c>
      <c r="R99" s="135" t="s">
        <v>151</v>
      </c>
      <c r="S99" s="135" t="s">
        <v>151</v>
      </c>
      <c r="T99" s="151" t="s">
        <v>151</v>
      </c>
      <c r="U99" s="151" t="s">
        <v>151</v>
      </c>
    </row>
    <row r="100" customFormat="false" ht="30.75" hidden="false" customHeight="true" outlineLevel="0" collapsed="false">
      <c r="A100" s="69"/>
      <c r="B100" s="128" t="s">
        <v>439</v>
      </c>
      <c r="C100" s="102" t="s">
        <v>151</v>
      </c>
      <c r="D100" s="124" t="s">
        <v>151</v>
      </c>
      <c r="E100" s="124" t="n">
        <v>332</v>
      </c>
      <c r="F100" s="124" t="s">
        <v>151</v>
      </c>
      <c r="G100" s="124" t="s">
        <v>151</v>
      </c>
      <c r="H100" s="124" t="s">
        <v>151</v>
      </c>
      <c r="I100" s="124" t="n">
        <v>93</v>
      </c>
      <c r="J100" s="124" t="n">
        <v>250</v>
      </c>
      <c r="K100" s="124" t="n">
        <v>90</v>
      </c>
      <c r="L100" s="124" t="n">
        <v>84</v>
      </c>
      <c r="M100" s="124" t="s">
        <v>151</v>
      </c>
      <c r="N100" s="124" t="s">
        <v>151</v>
      </c>
      <c r="O100" s="124" t="s">
        <v>151</v>
      </c>
      <c r="P100" s="117" t="n">
        <v>4056.38</v>
      </c>
      <c r="Q100" s="107" t="n">
        <v>197</v>
      </c>
      <c r="R100" s="107" t="n">
        <v>137</v>
      </c>
      <c r="S100" s="117" t="n">
        <v>6073.28</v>
      </c>
      <c r="T100" s="141" t="s">
        <v>151</v>
      </c>
      <c r="U100" s="141" t="s">
        <v>151</v>
      </c>
    </row>
    <row r="101" customFormat="false" ht="15" hidden="false" customHeight="false" outlineLevel="0" collapsed="false">
      <c r="A101" s="69"/>
      <c r="B101" s="101" t="s">
        <v>151</v>
      </c>
      <c r="C101" s="102" t="s">
        <v>151</v>
      </c>
      <c r="D101" s="101" t="s">
        <v>151</v>
      </c>
      <c r="E101" s="101" t="s">
        <v>151</v>
      </c>
      <c r="F101" s="101" t="s">
        <v>151</v>
      </c>
      <c r="G101" s="101" t="s">
        <v>151</v>
      </c>
      <c r="H101" s="101" t="s">
        <v>151</v>
      </c>
      <c r="I101" s="101" t="s">
        <v>151</v>
      </c>
      <c r="J101" s="101" t="s">
        <v>151</v>
      </c>
      <c r="K101" s="101" t="s">
        <v>151</v>
      </c>
      <c r="L101" s="101" t="s">
        <v>151</v>
      </c>
      <c r="M101" s="101" t="s">
        <v>151</v>
      </c>
      <c r="N101" s="101" t="s">
        <v>151</v>
      </c>
      <c r="O101" s="101" t="s">
        <v>151</v>
      </c>
      <c r="P101" s="105" t="s">
        <v>151</v>
      </c>
      <c r="Q101" s="105" t="s">
        <v>151</v>
      </c>
      <c r="R101" s="105" t="s">
        <v>151</v>
      </c>
      <c r="S101" s="105" t="s">
        <v>151</v>
      </c>
      <c r="T101" s="151" t="s">
        <v>151</v>
      </c>
      <c r="U101" s="151" t="s">
        <v>151</v>
      </c>
    </row>
    <row r="102" customFormat="false" ht="20.25" hidden="false" customHeight="true" outlineLevel="0" collapsed="false">
      <c r="A102" s="69"/>
      <c r="B102" s="101" t="s">
        <v>461</v>
      </c>
      <c r="C102" s="102" t="s">
        <v>151</v>
      </c>
      <c r="D102" s="101" t="s">
        <v>151</v>
      </c>
      <c r="E102" s="101" t="n">
        <v>55</v>
      </c>
      <c r="F102" s="101" t="s">
        <v>151</v>
      </c>
      <c r="G102" s="101" t="n">
        <v>38</v>
      </c>
      <c r="H102" s="101" t="n">
        <v>20</v>
      </c>
      <c r="I102" s="101" t="s">
        <v>151</v>
      </c>
      <c r="J102" s="101" t="s">
        <v>151</v>
      </c>
      <c r="K102" s="101" t="s">
        <v>151</v>
      </c>
      <c r="L102" s="101" t="s">
        <v>151</v>
      </c>
      <c r="M102" s="101" t="s">
        <v>151</v>
      </c>
      <c r="N102" s="101" t="n">
        <v>25</v>
      </c>
      <c r="O102" s="101" t="s">
        <v>151</v>
      </c>
      <c r="P102" s="105" t="s">
        <v>151</v>
      </c>
      <c r="Q102" s="105" t="s">
        <v>151</v>
      </c>
      <c r="R102" s="105" t="s">
        <v>151</v>
      </c>
      <c r="S102" s="105" t="s">
        <v>151</v>
      </c>
      <c r="T102" s="151" t="s">
        <v>151</v>
      </c>
      <c r="U102" s="151" t="s">
        <v>151</v>
      </c>
    </row>
    <row r="103" customFormat="false" ht="15" hidden="false" customHeight="false" outlineLevel="0" collapsed="false">
      <c r="A103" s="69"/>
      <c r="B103" s="101" t="s">
        <v>462</v>
      </c>
      <c r="C103" s="102" t="s">
        <v>151</v>
      </c>
      <c r="D103" s="101" t="s">
        <v>151</v>
      </c>
      <c r="E103" s="101" t="s">
        <v>151</v>
      </c>
      <c r="F103" s="101" t="s">
        <v>151</v>
      </c>
      <c r="G103" s="101" t="s">
        <v>151</v>
      </c>
      <c r="H103" s="101" t="s">
        <v>151</v>
      </c>
      <c r="I103" s="101" t="n">
        <v>91</v>
      </c>
      <c r="J103" s="101" t="n">
        <v>21</v>
      </c>
      <c r="K103" s="101" t="n">
        <v>77</v>
      </c>
      <c r="L103" s="101" t="s">
        <v>151</v>
      </c>
      <c r="M103" s="101" t="s">
        <v>151</v>
      </c>
      <c r="N103" s="101" t="s">
        <v>151</v>
      </c>
      <c r="O103" s="101" t="s">
        <v>151</v>
      </c>
      <c r="P103" s="105" t="s">
        <v>151</v>
      </c>
      <c r="Q103" s="105" t="s">
        <v>151</v>
      </c>
      <c r="R103" s="105" t="s">
        <v>151</v>
      </c>
      <c r="S103" s="105" t="s">
        <v>151</v>
      </c>
      <c r="T103" s="151" t="s">
        <v>151</v>
      </c>
      <c r="U103" s="151" t="s">
        <v>151</v>
      </c>
    </row>
    <row r="104" customFormat="false" ht="15" hidden="false" customHeight="false" outlineLevel="0" collapsed="false">
      <c r="A104" s="69"/>
      <c r="B104" s="101" t="s">
        <v>463</v>
      </c>
      <c r="C104" s="102" t="s">
        <v>151</v>
      </c>
      <c r="D104" s="101" t="s">
        <v>151</v>
      </c>
      <c r="E104" s="101" t="s">
        <v>151</v>
      </c>
      <c r="F104" s="101" t="s">
        <v>151</v>
      </c>
      <c r="G104" s="101" t="s">
        <v>151</v>
      </c>
      <c r="H104" s="101" t="s">
        <v>151</v>
      </c>
      <c r="I104" s="101" t="n">
        <v>94</v>
      </c>
      <c r="J104" s="101" t="n">
        <v>31</v>
      </c>
      <c r="K104" s="101" t="s">
        <v>151</v>
      </c>
      <c r="L104" s="101" t="n">
        <v>40</v>
      </c>
      <c r="M104" s="101" t="s">
        <v>151</v>
      </c>
      <c r="N104" s="101" t="s">
        <v>151</v>
      </c>
      <c r="O104" s="101" t="s">
        <v>151</v>
      </c>
      <c r="P104" s="105" t="s">
        <v>151</v>
      </c>
      <c r="Q104" s="105" t="s">
        <v>151</v>
      </c>
      <c r="R104" s="105" t="s">
        <v>151</v>
      </c>
      <c r="S104" s="105" t="s">
        <v>151</v>
      </c>
      <c r="T104" s="151" t="s">
        <v>151</v>
      </c>
      <c r="U104" s="151" t="s">
        <v>151</v>
      </c>
    </row>
    <row r="105" customFormat="false" ht="15" hidden="false" customHeight="false" outlineLevel="0" collapsed="false">
      <c r="A105" s="69"/>
      <c r="B105" s="101" t="s">
        <v>464</v>
      </c>
      <c r="C105" s="102" t="s">
        <v>151</v>
      </c>
      <c r="D105" s="151" t="n">
        <v>0</v>
      </c>
      <c r="E105" s="151" t="s">
        <v>151</v>
      </c>
      <c r="F105" s="151" t="s">
        <v>151</v>
      </c>
      <c r="G105" s="151" t="s">
        <v>151</v>
      </c>
      <c r="H105" s="151" t="s">
        <v>151</v>
      </c>
      <c r="I105" s="151" t="s">
        <v>151</v>
      </c>
      <c r="J105" s="152" t="s">
        <v>151</v>
      </c>
      <c r="K105" s="151" t="s">
        <v>151</v>
      </c>
      <c r="L105" s="151" t="s">
        <v>151</v>
      </c>
      <c r="M105" s="151" t="s">
        <v>151</v>
      </c>
      <c r="N105" s="151" t="s">
        <v>151</v>
      </c>
      <c r="O105" s="151" t="s">
        <v>151</v>
      </c>
      <c r="P105" s="105" t="s">
        <v>151</v>
      </c>
      <c r="Q105" s="127" t="n">
        <v>157.8</v>
      </c>
      <c r="R105" s="105" t="s">
        <v>151</v>
      </c>
      <c r="S105" s="105" t="s">
        <v>151</v>
      </c>
      <c r="T105" s="151" t="s">
        <v>151</v>
      </c>
      <c r="U105" s="151" t="s">
        <v>151</v>
      </c>
    </row>
    <row r="106" customFormat="false" ht="15" hidden="false" customHeight="false" outlineLevel="0" collapsed="false">
      <c r="A106" s="69"/>
      <c r="B106" s="101" t="s">
        <v>45</v>
      </c>
      <c r="C106" s="102" t="s">
        <v>151</v>
      </c>
      <c r="D106" s="151" t="n">
        <v>0</v>
      </c>
      <c r="E106" s="151" t="s">
        <v>151</v>
      </c>
      <c r="F106" s="151" t="s">
        <v>151</v>
      </c>
      <c r="G106" s="151" t="s">
        <v>151</v>
      </c>
      <c r="H106" s="151" t="s">
        <v>151</v>
      </c>
      <c r="I106" s="151" t="s">
        <v>151</v>
      </c>
      <c r="J106" s="151" t="s">
        <v>151</v>
      </c>
      <c r="K106" s="151" t="s">
        <v>151</v>
      </c>
      <c r="L106" s="151" t="s">
        <v>151</v>
      </c>
      <c r="M106" s="151" t="s">
        <v>151</v>
      </c>
      <c r="N106" s="151" t="s">
        <v>151</v>
      </c>
      <c r="O106" s="151" t="s">
        <v>151</v>
      </c>
      <c r="P106" s="127" t="n">
        <v>94.5</v>
      </c>
      <c r="Q106" s="105" t="s">
        <v>151</v>
      </c>
      <c r="R106" s="105" t="s">
        <v>151</v>
      </c>
      <c r="S106" s="105" t="s">
        <v>151</v>
      </c>
      <c r="T106" s="151" t="s">
        <v>151</v>
      </c>
      <c r="U106" s="151" t="s">
        <v>151</v>
      </c>
    </row>
    <row r="107" customFormat="false" ht="15" hidden="false" customHeight="false" outlineLevel="0" collapsed="false">
      <c r="A107" s="69"/>
      <c r="B107" s="101" t="s">
        <v>465</v>
      </c>
      <c r="C107" s="102" t="s">
        <v>151</v>
      </c>
      <c r="D107" s="151" t="s">
        <v>151</v>
      </c>
      <c r="E107" s="151" t="s">
        <v>151</v>
      </c>
      <c r="F107" s="151" t="s">
        <v>151</v>
      </c>
      <c r="G107" s="151" t="s">
        <v>151</v>
      </c>
      <c r="H107" s="151" t="s">
        <v>151</v>
      </c>
      <c r="I107" s="151" t="s">
        <v>151</v>
      </c>
      <c r="J107" s="151" t="s">
        <v>151</v>
      </c>
      <c r="K107" s="151" t="s">
        <v>151</v>
      </c>
      <c r="L107" s="151" t="s">
        <v>151</v>
      </c>
      <c r="M107" s="151" t="s">
        <v>151</v>
      </c>
      <c r="N107" s="151" t="s">
        <v>151</v>
      </c>
      <c r="O107" s="151" t="n">
        <v>322</v>
      </c>
      <c r="P107" s="127" t="s">
        <v>151</v>
      </c>
      <c r="Q107" s="127" t="n">
        <v>149.63</v>
      </c>
      <c r="R107" s="105" t="s">
        <v>151</v>
      </c>
      <c r="S107" s="105" t="s">
        <v>151</v>
      </c>
      <c r="T107" s="151" t="s">
        <v>151</v>
      </c>
      <c r="U107" s="151" t="s">
        <v>151</v>
      </c>
    </row>
    <row r="108" customFormat="false" ht="15" hidden="false" customHeight="false" outlineLevel="0" collapsed="false">
      <c r="A108" s="69"/>
      <c r="B108" s="101" t="s">
        <v>466</v>
      </c>
      <c r="C108" s="102" t="s">
        <v>151</v>
      </c>
      <c r="D108" s="151" t="s">
        <v>151</v>
      </c>
      <c r="E108" s="151" t="s">
        <v>151</v>
      </c>
      <c r="F108" s="151" t="s">
        <v>151</v>
      </c>
      <c r="G108" s="151" t="s">
        <v>151</v>
      </c>
      <c r="H108" s="151" t="s">
        <v>151</v>
      </c>
      <c r="I108" s="151" t="s">
        <v>151</v>
      </c>
      <c r="J108" s="151" t="s">
        <v>151</v>
      </c>
      <c r="K108" s="151" t="s">
        <v>151</v>
      </c>
      <c r="L108" s="151" t="s">
        <v>151</v>
      </c>
      <c r="M108" s="151" t="s">
        <v>151</v>
      </c>
      <c r="N108" s="151" t="s">
        <v>151</v>
      </c>
      <c r="O108" s="151" t="n">
        <v>436</v>
      </c>
      <c r="P108" s="105" t="s">
        <v>151</v>
      </c>
      <c r="Q108" s="105" t="s">
        <v>151</v>
      </c>
      <c r="R108" s="105" t="s">
        <v>151</v>
      </c>
      <c r="S108" s="105" t="s">
        <v>151</v>
      </c>
      <c r="T108" s="151" t="s">
        <v>151</v>
      </c>
      <c r="U108" s="151" t="s">
        <v>151</v>
      </c>
    </row>
    <row r="109" customFormat="false" ht="15" hidden="false" customHeight="false" outlineLevel="0" collapsed="false">
      <c r="A109" s="69"/>
      <c r="B109" s="101" t="s">
        <v>467</v>
      </c>
      <c r="C109" s="102" t="s">
        <v>151</v>
      </c>
      <c r="D109" s="101" t="s">
        <v>151</v>
      </c>
      <c r="E109" s="101" t="s">
        <v>151</v>
      </c>
      <c r="F109" s="101" t="s">
        <v>151</v>
      </c>
      <c r="G109" s="101" t="s">
        <v>151</v>
      </c>
      <c r="H109" s="101" t="n">
        <v>12</v>
      </c>
      <c r="I109" s="101" t="s">
        <v>151</v>
      </c>
      <c r="J109" s="101" t="s">
        <v>151</v>
      </c>
      <c r="K109" s="101" t="s">
        <v>151</v>
      </c>
      <c r="L109" s="101" t="s">
        <v>151</v>
      </c>
      <c r="M109" s="101" t="s">
        <v>151</v>
      </c>
      <c r="N109" s="101" t="s">
        <v>151</v>
      </c>
      <c r="O109" s="101" t="s">
        <v>151</v>
      </c>
      <c r="P109" s="106" t="s">
        <v>151</v>
      </c>
      <c r="Q109" s="106" t="s">
        <v>151</v>
      </c>
      <c r="R109" s="106" t="s">
        <v>151</v>
      </c>
      <c r="S109" s="106" t="s">
        <v>151</v>
      </c>
      <c r="T109" s="151" t="s">
        <v>151</v>
      </c>
      <c r="U109" s="151" t="s">
        <v>151</v>
      </c>
    </row>
    <row r="110" customFormat="false" ht="20.25" hidden="false" customHeight="true" outlineLevel="0" collapsed="false">
      <c r="A110" s="69"/>
      <c r="B110" s="128" t="s">
        <v>468</v>
      </c>
      <c r="C110" s="102" t="s">
        <v>151</v>
      </c>
      <c r="D110" s="124" t="s">
        <v>151</v>
      </c>
      <c r="E110" s="124" t="n">
        <v>55</v>
      </c>
      <c r="F110" s="124" t="s">
        <v>151</v>
      </c>
      <c r="G110" s="124" t="n">
        <v>38</v>
      </c>
      <c r="H110" s="124" t="n">
        <v>32</v>
      </c>
      <c r="I110" s="124" t="n">
        <v>185</v>
      </c>
      <c r="J110" s="124" t="n">
        <v>52</v>
      </c>
      <c r="K110" s="124" t="n">
        <v>77</v>
      </c>
      <c r="L110" s="124" t="n">
        <v>40</v>
      </c>
      <c r="M110" s="124" t="s">
        <v>151</v>
      </c>
      <c r="N110" s="124" t="n">
        <v>25</v>
      </c>
      <c r="O110" s="124" t="n">
        <v>758</v>
      </c>
      <c r="P110" s="107" t="n">
        <v>94.5</v>
      </c>
      <c r="Q110" s="107" t="n">
        <v>307.43</v>
      </c>
      <c r="R110" s="107" t="s">
        <v>368</v>
      </c>
      <c r="S110" s="107" t="s">
        <v>378</v>
      </c>
      <c r="T110" s="114" t="s">
        <v>151</v>
      </c>
      <c r="U110" s="141" t="s">
        <v>151</v>
      </c>
    </row>
    <row r="111" customFormat="false" ht="15" hidden="false" customHeight="false" outlineLevel="0" collapsed="false">
      <c r="A111" s="69"/>
      <c r="B111" s="101" t="s">
        <v>151</v>
      </c>
      <c r="C111" s="102" t="s">
        <v>151</v>
      </c>
      <c r="D111" s="101" t="s">
        <v>151</v>
      </c>
      <c r="E111" s="101" t="s">
        <v>151</v>
      </c>
      <c r="F111" s="101" t="s">
        <v>151</v>
      </c>
      <c r="G111" s="101" t="s">
        <v>151</v>
      </c>
      <c r="H111" s="101" t="s">
        <v>151</v>
      </c>
      <c r="I111" s="101" t="s">
        <v>151</v>
      </c>
      <c r="J111" s="101" t="s">
        <v>151</v>
      </c>
      <c r="K111" s="101" t="s">
        <v>151</v>
      </c>
      <c r="L111" s="101" t="s">
        <v>151</v>
      </c>
      <c r="M111" s="101" t="s">
        <v>151</v>
      </c>
      <c r="N111" s="101" t="s">
        <v>151</v>
      </c>
      <c r="O111" s="101" t="s">
        <v>151</v>
      </c>
      <c r="P111" s="106" t="s">
        <v>151</v>
      </c>
      <c r="Q111" s="106" t="s">
        <v>151</v>
      </c>
      <c r="R111" s="106" t="s">
        <v>151</v>
      </c>
      <c r="S111" s="106" t="s">
        <v>151</v>
      </c>
      <c r="T111" s="167" t="s">
        <v>151</v>
      </c>
      <c r="U111" s="159" t="s">
        <v>151</v>
      </c>
    </row>
    <row r="112" customFormat="false" ht="15" hidden="false" customHeight="false" outlineLevel="0" collapsed="false">
      <c r="A112" s="69"/>
      <c r="B112" s="101" t="s">
        <v>469</v>
      </c>
      <c r="C112" s="102" t="s">
        <v>151</v>
      </c>
      <c r="D112" s="101" t="s">
        <v>151</v>
      </c>
      <c r="E112" s="101" t="s">
        <v>151</v>
      </c>
      <c r="F112" s="101" t="s">
        <v>151</v>
      </c>
      <c r="G112" s="101" t="s">
        <v>151</v>
      </c>
      <c r="H112" s="101" t="s">
        <v>151</v>
      </c>
      <c r="I112" s="101" t="s">
        <v>151</v>
      </c>
      <c r="J112" s="101" t="s">
        <v>151</v>
      </c>
      <c r="K112" s="101" t="s">
        <v>151</v>
      </c>
      <c r="L112" s="101" t="n">
        <v>67</v>
      </c>
      <c r="M112" s="101" t="s">
        <v>151</v>
      </c>
      <c r="N112" s="101" t="s">
        <v>151</v>
      </c>
      <c r="O112" s="101" t="s">
        <v>151</v>
      </c>
      <c r="P112" s="106" t="s">
        <v>151</v>
      </c>
      <c r="Q112" s="106" t="s">
        <v>151</v>
      </c>
      <c r="R112" s="106" t="s">
        <v>151</v>
      </c>
      <c r="S112" s="106" t="s">
        <v>151</v>
      </c>
      <c r="T112" s="159" t="s">
        <v>151</v>
      </c>
      <c r="U112" s="159" t="s">
        <v>151</v>
      </c>
    </row>
    <row r="113" customFormat="false" ht="15" hidden="false" customHeight="false" outlineLevel="0" collapsed="false">
      <c r="A113" s="69"/>
      <c r="B113" s="101" t="s">
        <v>470</v>
      </c>
      <c r="C113" s="102" t="s">
        <v>151</v>
      </c>
      <c r="D113" s="101" t="s">
        <v>151</v>
      </c>
      <c r="E113" s="101" t="s">
        <v>151</v>
      </c>
      <c r="F113" s="101" t="s">
        <v>151</v>
      </c>
      <c r="G113" s="101" t="s">
        <v>151</v>
      </c>
      <c r="H113" s="101" t="s">
        <v>151</v>
      </c>
      <c r="I113" s="101" t="s">
        <v>151</v>
      </c>
      <c r="J113" s="101" t="s">
        <v>151</v>
      </c>
      <c r="K113" s="101" t="s">
        <v>151</v>
      </c>
      <c r="L113" s="101" t="n">
        <v>115</v>
      </c>
      <c r="M113" s="101" t="s">
        <v>151</v>
      </c>
      <c r="N113" s="101" t="s">
        <v>151</v>
      </c>
      <c r="O113" s="101" t="s">
        <v>151</v>
      </c>
      <c r="P113" s="106" t="s">
        <v>151</v>
      </c>
      <c r="Q113" s="106" t="s">
        <v>151</v>
      </c>
      <c r="R113" s="106" t="s">
        <v>151</v>
      </c>
      <c r="S113" s="106" t="s">
        <v>151</v>
      </c>
      <c r="T113" s="159" t="s">
        <v>151</v>
      </c>
      <c r="U113" s="159" t="s">
        <v>151</v>
      </c>
    </row>
    <row r="114" customFormat="false" ht="20.25" hidden="false" customHeight="true" outlineLevel="0" collapsed="false">
      <c r="A114" s="69"/>
      <c r="B114" s="128" t="s">
        <v>471</v>
      </c>
      <c r="C114" s="102" t="s">
        <v>151</v>
      </c>
      <c r="D114" s="124" t="s">
        <v>151</v>
      </c>
      <c r="E114" s="124" t="s">
        <v>151</v>
      </c>
      <c r="F114" s="124" t="s">
        <v>151</v>
      </c>
      <c r="G114" s="124" t="s">
        <v>151</v>
      </c>
      <c r="H114" s="124" t="s">
        <v>151</v>
      </c>
      <c r="I114" s="124" t="s">
        <v>151</v>
      </c>
      <c r="J114" s="124" t="s">
        <v>151</v>
      </c>
      <c r="K114" s="124" t="s">
        <v>151</v>
      </c>
      <c r="L114" s="124" t="n">
        <v>181</v>
      </c>
      <c r="M114" s="124" t="s">
        <v>151</v>
      </c>
      <c r="N114" s="124" t="s">
        <v>151</v>
      </c>
      <c r="O114" s="124" t="s">
        <v>151</v>
      </c>
      <c r="P114" s="107" t="s">
        <v>378</v>
      </c>
      <c r="Q114" s="107" t="s">
        <v>368</v>
      </c>
      <c r="R114" s="107" t="s">
        <v>368</v>
      </c>
      <c r="S114" s="107" t="s">
        <v>378</v>
      </c>
      <c r="T114" s="141" t="s">
        <v>151</v>
      </c>
      <c r="U114" s="141" t="s">
        <v>151</v>
      </c>
    </row>
    <row r="115" customFormat="false" ht="15" hidden="false" customHeight="false" outlineLevel="0" collapsed="false">
      <c r="A115" s="69"/>
      <c r="B115" s="101" t="s">
        <v>151</v>
      </c>
      <c r="C115" s="102" t="s">
        <v>151</v>
      </c>
      <c r="D115" s="101" t="s">
        <v>151</v>
      </c>
      <c r="E115" s="101" t="s">
        <v>151</v>
      </c>
      <c r="F115" s="101" t="s">
        <v>151</v>
      </c>
      <c r="G115" s="101" t="s">
        <v>151</v>
      </c>
      <c r="H115" s="101" t="s">
        <v>151</v>
      </c>
      <c r="I115" s="101" t="s">
        <v>151</v>
      </c>
      <c r="J115" s="101" t="s">
        <v>151</v>
      </c>
      <c r="K115" s="101" t="s">
        <v>151</v>
      </c>
      <c r="L115" s="101" t="s">
        <v>151</v>
      </c>
      <c r="M115" s="101" t="s">
        <v>151</v>
      </c>
      <c r="N115" s="101" t="s">
        <v>151</v>
      </c>
      <c r="O115" s="101" t="s">
        <v>151</v>
      </c>
      <c r="P115" s="106" t="s">
        <v>151</v>
      </c>
      <c r="Q115" s="106" t="s">
        <v>151</v>
      </c>
      <c r="R115" s="106" t="s">
        <v>151</v>
      </c>
      <c r="S115" s="106" t="s">
        <v>151</v>
      </c>
      <c r="T115" s="162" t="s">
        <v>151</v>
      </c>
      <c r="U115" s="162" t="s">
        <v>151</v>
      </c>
    </row>
    <row r="116" customFormat="false" ht="15" hidden="false" customHeight="false" outlineLevel="0" collapsed="false">
      <c r="A116" s="69"/>
      <c r="B116" s="101" t="s">
        <v>374</v>
      </c>
      <c r="C116" s="102" t="s">
        <v>151</v>
      </c>
      <c r="D116" s="101" t="s">
        <v>151</v>
      </c>
      <c r="E116" s="101" t="s">
        <v>151</v>
      </c>
      <c r="F116" s="101" t="s">
        <v>151</v>
      </c>
      <c r="G116" s="101" t="s">
        <v>151</v>
      </c>
      <c r="H116" s="101" t="s">
        <v>151</v>
      </c>
      <c r="I116" s="101" t="s">
        <v>151</v>
      </c>
      <c r="J116" s="101" t="s">
        <v>151</v>
      </c>
      <c r="K116" s="101" t="n">
        <v>358</v>
      </c>
      <c r="L116" s="101" t="n">
        <v>430</v>
      </c>
      <c r="M116" s="148" t="n">
        <v>1214</v>
      </c>
      <c r="N116" s="101" t="s">
        <v>151</v>
      </c>
      <c r="O116" s="101" t="s">
        <v>151</v>
      </c>
      <c r="P116" s="106" t="s">
        <v>151</v>
      </c>
      <c r="Q116" s="106" t="s">
        <v>151</v>
      </c>
      <c r="R116" s="106" t="s">
        <v>151</v>
      </c>
      <c r="S116" s="106" t="s">
        <v>151</v>
      </c>
      <c r="T116" s="159" t="s">
        <v>151</v>
      </c>
      <c r="U116" s="159" t="s">
        <v>151</v>
      </c>
    </row>
    <row r="117" customFormat="false" ht="20.25" hidden="false" customHeight="true" outlineLevel="0" collapsed="false">
      <c r="A117" s="69"/>
      <c r="B117" s="128" t="s">
        <v>472</v>
      </c>
      <c r="C117" s="102" t="s">
        <v>151</v>
      </c>
      <c r="D117" s="124" t="s">
        <v>151</v>
      </c>
      <c r="E117" s="124" t="s">
        <v>151</v>
      </c>
      <c r="F117" s="124" t="s">
        <v>151</v>
      </c>
      <c r="G117" s="124" t="s">
        <v>151</v>
      </c>
      <c r="H117" s="124" t="s">
        <v>151</v>
      </c>
      <c r="I117" s="124" t="s">
        <v>151</v>
      </c>
      <c r="J117" s="124" t="s">
        <v>151</v>
      </c>
      <c r="K117" s="124" t="n">
        <v>358</v>
      </c>
      <c r="L117" s="124" t="n">
        <v>430</v>
      </c>
      <c r="M117" s="153" t="n">
        <v>1214</v>
      </c>
      <c r="N117" s="124" t="s">
        <v>151</v>
      </c>
      <c r="O117" s="124" t="s">
        <v>151</v>
      </c>
      <c r="P117" s="107" t="s">
        <v>378</v>
      </c>
      <c r="Q117" s="107" t="s">
        <v>368</v>
      </c>
      <c r="R117" s="107" t="s">
        <v>368</v>
      </c>
      <c r="S117" s="107" t="s">
        <v>378</v>
      </c>
      <c r="T117" s="114" t="s">
        <v>151</v>
      </c>
      <c r="U117" s="141" t="s">
        <v>151</v>
      </c>
    </row>
    <row r="118" customFormat="false" ht="15" hidden="false" customHeight="false" outlineLevel="0" collapsed="false">
      <c r="A118" s="69"/>
      <c r="B118" s="101" t="s">
        <v>151</v>
      </c>
      <c r="C118" s="102" t="s">
        <v>151</v>
      </c>
      <c r="D118" s="101" t="s">
        <v>151</v>
      </c>
      <c r="E118" s="101" t="s">
        <v>151</v>
      </c>
      <c r="F118" s="101" t="s">
        <v>151</v>
      </c>
      <c r="G118" s="101" t="s">
        <v>151</v>
      </c>
      <c r="H118" s="101" t="s">
        <v>151</v>
      </c>
      <c r="I118" s="101" t="s">
        <v>151</v>
      </c>
      <c r="J118" s="101" t="s">
        <v>151</v>
      </c>
      <c r="K118" s="101" t="s">
        <v>151</v>
      </c>
      <c r="L118" s="101" t="s">
        <v>151</v>
      </c>
      <c r="M118" s="101" t="s">
        <v>151</v>
      </c>
      <c r="N118" s="101" t="s">
        <v>151</v>
      </c>
      <c r="O118" s="101" t="s">
        <v>151</v>
      </c>
      <c r="P118" s="105" t="s">
        <v>151</v>
      </c>
      <c r="Q118" s="105" t="s">
        <v>151</v>
      </c>
      <c r="R118" s="105" t="s">
        <v>151</v>
      </c>
      <c r="S118" s="105" t="s">
        <v>151</v>
      </c>
      <c r="T118" s="167" t="s">
        <v>151</v>
      </c>
      <c r="U118" s="159" t="s">
        <v>151</v>
      </c>
    </row>
    <row r="119" customFormat="false" ht="15" hidden="false" customHeight="false" outlineLevel="0" collapsed="false">
      <c r="A119" s="69"/>
      <c r="B119" s="101" t="s">
        <v>72</v>
      </c>
      <c r="C119" s="102" t="s">
        <v>151</v>
      </c>
      <c r="D119" s="152" t="n">
        <v>0</v>
      </c>
      <c r="E119" s="152" t="s">
        <v>151</v>
      </c>
      <c r="F119" s="152" t="s">
        <v>151</v>
      </c>
      <c r="G119" s="152" t="s">
        <v>151</v>
      </c>
      <c r="H119" s="152" t="s">
        <v>151</v>
      </c>
      <c r="I119" s="152" t="s">
        <v>151</v>
      </c>
      <c r="J119" s="152" t="s">
        <v>151</v>
      </c>
      <c r="K119" s="152" t="s">
        <v>151</v>
      </c>
      <c r="L119" s="152" t="s">
        <v>151</v>
      </c>
      <c r="M119" s="152" t="s">
        <v>151</v>
      </c>
      <c r="N119" s="152" t="s">
        <v>151</v>
      </c>
      <c r="O119" s="152" t="s">
        <v>151</v>
      </c>
      <c r="P119" s="105" t="s">
        <v>151</v>
      </c>
      <c r="Q119" s="105" t="s">
        <v>151</v>
      </c>
      <c r="R119" s="112" t="n">
        <v>3690</v>
      </c>
      <c r="S119" s="105" t="s">
        <v>151</v>
      </c>
      <c r="T119" s="159" t="s">
        <v>151</v>
      </c>
      <c r="U119" s="159" t="s">
        <v>151</v>
      </c>
    </row>
    <row r="120" customFormat="false" ht="20.25" hidden="false" customHeight="true" outlineLevel="0" collapsed="false">
      <c r="A120" s="69"/>
      <c r="B120" s="101" t="s">
        <v>473</v>
      </c>
      <c r="C120" s="102" t="s">
        <v>151</v>
      </c>
      <c r="D120" s="101" t="s">
        <v>151</v>
      </c>
      <c r="E120" s="101" t="s">
        <v>151</v>
      </c>
      <c r="F120" s="101" t="n">
        <v>8</v>
      </c>
      <c r="G120" s="101" t="n">
        <v>10</v>
      </c>
      <c r="H120" s="101" t="n">
        <v>20</v>
      </c>
      <c r="I120" s="101" t="s">
        <v>151</v>
      </c>
      <c r="J120" s="101" t="n">
        <v>10</v>
      </c>
      <c r="K120" s="101" t="n">
        <v>10</v>
      </c>
      <c r="L120" s="101" t="n">
        <v>10</v>
      </c>
      <c r="M120" s="101" t="n">
        <v>10</v>
      </c>
      <c r="N120" s="101" t="n">
        <v>10</v>
      </c>
      <c r="O120" s="101" t="n">
        <v>10</v>
      </c>
      <c r="P120" s="127" t="n">
        <v>9.96</v>
      </c>
      <c r="Q120" s="127" t="n">
        <v>9.96</v>
      </c>
      <c r="R120" s="103" t="n">
        <v>9.96</v>
      </c>
      <c r="S120" s="127" t="n">
        <v>9.96</v>
      </c>
      <c r="T120" s="167" t="s">
        <v>151</v>
      </c>
      <c r="U120" s="159" t="s">
        <v>151</v>
      </c>
    </row>
    <row r="121" customFormat="false" ht="15" hidden="false" customHeight="false" outlineLevel="0" collapsed="false">
      <c r="A121" s="69"/>
      <c r="B121" s="101" t="s">
        <v>474</v>
      </c>
      <c r="C121" s="102" t="s">
        <v>151</v>
      </c>
      <c r="D121" s="101" t="s">
        <v>151</v>
      </c>
      <c r="E121" s="101" t="s">
        <v>151</v>
      </c>
      <c r="F121" s="101" t="s">
        <v>151</v>
      </c>
      <c r="G121" s="101" t="s">
        <v>151</v>
      </c>
      <c r="H121" s="101" t="s">
        <v>151</v>
      </c>
      <c r="I121" s="101" t="s">
        <v>151</v>
      </c>
      <c r="J121" s="101" t="s">
        <v>151</v>
      </c>
      <c r="K121" s="101" t="s">
        <v>151</v>
      </c>
      <c r="L121" s="148" t="n">
        <v>6960</v>
      </c>
      <c r="M121" s="101" t="s">
        <v>151</v>
      </c>
      <c r="N121" s="101" t="s">
        <v>151</v>
      </c>
      <c r="O121" s="101" t="s">
        <v>151</v>
      </c>
      <c r="P121" s="105" t="s">
        <v>151</v>
      </c>
      <c r="Q121" s="105" t="s">
        <v>151</v>
      </c>
      <c r="R121" s="103" t="s">
        <v>151</v>
      </c>
      <c r="S121" s="105" t="s">
        <v>151</v>
      </c>
      <c r="T121" s="159" t="s">
        <v>151</v>
      </c>
      <c r="U121" s="159" t="s">
        <v>151</v>
      </c>
    </row>
    <row r="122" customFormat="false" ht="15" hidden="false" customHeight="false" outlineLevel="0" collapsed="false">
      <c r="A122" s="69"/>
      <c r="B122" s="101" t="s">
        <v>475</v>
      </c>
      <c r="C122" s="102" t="s">
        <v>151</v>
      </c>
      <c r="D122" s="151" t="n">
        <v>0</v>
      </c>
      <c r="E122" s="151" t="s">
        <v>151</v>
      </c>
      <c r="F122" s="151" t="s">
        <v>151</v>
      </c>
      <c r="G122" s="151" t="s">
        <v>151</v>
      </c>
      <c r="H122" s="151" t="s">
        <v>151</v>
      </c>
      <c r="I122" s="151" t="s">
        <v>151</v>
      </c>
      <c r="J122" s="152" t="s">
        <v>151</v>
      </c>
      <c r="K122" s="151" t="s">
        <v>151</v>
      </c>
      <c r="L122" s="151" t="s">
        <v>151</v>
      </c>
      <c r="M122" s="151" t="s">
        <v>151</v>
      </c>
      <c r="N122" s="151" t="s">
        <v>151</v>
      </c>
      <c r="O122" s="151" t="s">
        <v>151</v>
      </c>
      <c r="P122" s="127" t="n">
        <v>166.43</v>
      </c>
      <c r="Q122" s="103" t="n">
        <v>155.43</v>
      </c>
      <c r="R122" s="103" t="n">
        <v>235.03</v>
      </c>
      <c r="S122" s="103" t="n">
        <v>108.43</v>
      </c>
      <c r="T122" s="159" t="s">
        <v>151</v>
      </c>
      <c r="U122" s="159" t="s">
        <v>151</v>
      </c>
    </row>
    <row r="123" customFormat="false" ht="15" hidden="false" customHeight="false" outlineLevel="0" collapsed="false">
      <c r="A123" s="69"/>
      <c r="B123" s="101" t="s">
        <v>476</v>
      </c>
      <c r="C123" s="102" t="s">
        <v>151</v>
      </c>
      <c r="D123" s="151" t="n">
        <v>0</v>
      </c>
      <c r="E123" s="151" t="s">
        <v>151</v>
      </c>
      <c r="F123" s="151" t="s">
        <v>151</v>
      </c>
      <c r="G123" s="151" t="s">
        <v>151</v>
      </c>
      <c r="H123" s="151" t="s">
        <v>151</v>
      </c>
      <c r="I123" s="151" t="s">
        <v>151</v>
      </c>
      <c r="J123" s="151" t="s">
        <v>151</v>
      </c>
      <c r="K123" s="151" t="s">
        <v>151</v>
      </c>
      <c r="L123" s="151" t="s">
        <v>151</v>
      </c>
      <c r="M123" s="151" t="s">
        <v>151</v>
      </c>
      <c r="N123" s="151" t="s">
        <v>151</v>
      </c>
      <c r="O123" s="151" t="s">
        <v>151</v>
      </c>
      <c r="P123" s="103" t="s">
        <v>151</v>
      </c>
      <c r="Q123" s="103" t="s">
        <v>151</v>
      </c>
      <c r="R123" s="103" t="s">
        <v>151</v>
      </c>
      <c r="S123" s="142" t="n">
        <v>37250</v>
      </c>
      <c r="T123" s="159" t="s">
        <v>151</v>
      </c>
      <c r="U123" s="159" t="s">
        <v>151</v>
      </c>
    </row>
    <row r="124" customFormat="false" ht="15" hidden="false" customHeight="false" outlineLevel="0" collapsed="false">
      <c r="A124" s="69"/>
      <c r="B124" s="101" t="s">
        <v>477</v>
      </c>
      <c r="C124" s="102" t="s">
        <v>151</v>
      </c>
      <c r="D124" s="151" t="n">
        <v>0</v>
      </c>
      <c r="E124" s="151" t="s">
        <v>151</v>
      </c>
      <c r="F124" s="151" t="s">
        <v>151</v>
      </c>
      <c r="G124" s="151" t="s">
        <v>151</v>
      </c>
      <c r="H124" s="151" t="s">
        <v>151</v>
      </c>
      <c r="I124" s="151" t="s">
        <v>151</v>
      </c>
      <c r="J124" s="151" t="s">
        <v>151</v>
      </c>
      <c r="K124" s="151" t="s">
        <v>151</v>
      </c>
      <c r="L124" s="151" t="s">
        <v>151</v>
      </c>
      <c r="M124" s="151" t="s">
        <v>151</v>
      </c>
      <c r="N124" s="151" t="s">
        <v>151</v>
      </c>
      <c r="O124" s="151" t="s">
        <v>151</v>
      </c>
      <c r="P124" s="103" t="s">
        <v>151</v>
      </c>
      <c r="Q124" s="103" t="s">
        <v>151</v>
      </c>
      <c r="R124" s="103" t="s">
        <v>151</v>
      </c>
      <c r="S124" s="108" t="n">
        <v>1250</v>
      </c>
      <c r="T124" s="159" t="s">
        <v>151</v>
      </c>
      <c r="U124" s="159" t="s">
        <v>151</v>
      </c>
    </row>
    <row r="125" customFormat="false" ht="15" hidden="false" customHeight="false" outlineLevel="0" collapsed="false">
      <c r="A125" s="69"/>
      <c r="B125" s="101" t="s">
        <v>478</v>
      </c>
      <c r="C125" s="102" t="s">
        <v>151</v>
      </c>
      <c r="D125" s="101" t="s">
        <v>151</v>
      </c>
      <c r="E125" s="101" t="s">
        <v>151</v>
      </c>
      <c r="F125" s="101" t="s">
        <v>151</v>
      </c>
      <c r="G125" s="101" t="s">
        <v>151</v>
      </c>
      <c r="H125" s="101" t="s">
        <v>151</v>
      </c>
      <c r="I125" s="101" t="s">
        <v>151</v>
      </c>
      <c r="J125" s="101" t="s">
        <v>151</v>
      </c>
      <c r="K125" s="101" t="s">
        <v>151</v>
      </c>
      <c r="L125" s="101" t="n">
        <v>1</v>
      </c>
      <c r="M125" s="101" t="n">
        <v>39</v>
      </c>
      <c r="N125" s="101" t="n">
        <v>113</v>
      </c>
      <c r="O125" s="101" t="n">
        <v>190</v>
      </c>
      <c r="P125" s="103" t="s">
        <v>151</v>
      </c>
      <c r="Q125" s="103" t="s">
        <v>151</v>
      </c>
      <c r="R125" s="103" t="s">
        <v>151</v>
      </c>
      <c r="S125" s="143" t="n">
        <v>6150</v>
      </c>
      <c r="T125" s="167" t="s">
        <v>151</v>
      </c>
      <c r="U125" s="159" t="s">
        <v>151</v>
      </c>
    </row>
    <row r="126" customFormat="false" ht="15" hidden="false" customHeight="false" outlineLevel="0" collapsed="false">
      <c r="A126" s="69"/>
      <c r="B126" s="101" t="s">
        <v>479</v>
      </c>
      <c r="C126" s="102" t="s">
        <v>151</v>
      </c>
      <c r="D126" s="151" t="n">
        <v>0</v>
      </c>
      <c r="E126" s="151" t="s">
        <v>151</v>
      </c>
      <c r="F126" s="151" t="s">
        <v>151</v>
      </c>
      <c r="G126" s="151" t="s">
        <v>151</v>
      </c>
      <c r="H126" s="151" t="s">
        <v>151</v>
      </c>
      <c r="I126" s="151" t="s">
        <v>151</v>
      </c>
      <c r="J126" s="152" t="s">
        <v>151</v>
      </c>
      <c r="K126" s="151" t="s">
        <v>151</v>
      </c>
      <c r="L126" s="151" t="s">
        <v>151</v>
      </c>
      <c r="M126" s="151" t="s">
        <v>151</v>
      </c>
      <c r="N126" s="151" t="s">
        <v>151</v>
      </c>
      <c r="O126" s="151" t="s">
        <v>151</v>
      </c>
      <c r="P126" s="142" t="n">
        <v>3133.8</v>
      </c>
      <c r="Q126" s="105" t="s">
        <v>151</v>
      </c>
      <c r="R126" s="105" t="s">
        <v>151</v>
      </c>
      <c r="S126" s="105" t="s">
        <v>151</v>
      </c>
      <c r="T126" s="159" t="s">
        <v>151</v>
      </c>
      <c r="U126" s="159" t="s">
        <v>151</v>
      </c>
    </row>
    <row r="127" customFormat="false" ht="20.25" hidden="false" customHeight="true" outlineLevel="0" collapsed="false">
      <c r="A127" s="69"/>
      <c r="B127" s="101" t="s">
        <v>480</v>
      </c>
      <c r="C127" s="102" t="s">
        <v>151</v>
      </c>
      <c r="D127" s="151" t="n">
        <v>0</v>
      </c>
      <c r="E127" s="151" t="s">
        <v>151</v>
      </c>
      <c r="F127" s="151" t="s">
        <v>151</v>
      </c>
      <c r="G127" s="151" t="s">
        <v>151</v>
      </c>
      <c r="H127" s="151" t="s">
        <v>151</v>
      </c>
      <c r="I127" s="151" t="s">
        <v>151</v>
      </c>
      <c r="J127" s="151" t="s">
        <v>151</v>
      </c>
      <c r="K127" s="151" t="s">
        <v>151</v>
      </c>
      <c r="L127" s="151" t="s">
        <v>151</v>
      </c>
      <c r="M127" s="151" t="s">
        <v>151</v>
      </c>
      <c r="N127" s="151" t="s">
        <v>151</v>
      </c>
      <c r="O127" s="151" t="s">
        <v>151</v>
      </c>
      <c r="P127" s="105" t="s">
        <v>151</v>
      </c>
      <c r="Q127" s="103" t="n">
        <v>51</v>
      </c>
      <c r="R127" s="103" t="n">
        <v>51</v>
      </c>
      <c r="S127" s="103" t="n">
        <v>51</v>
      </c>
      <c r="T127" s="167" t="s">
        <v>151</v>
      </c>
      <c r="U127" s="159" t="s">
        <v>151</v>
      </c>
    </row>
    <row r="128" customFormat="false" ht="20.25" hidden="false" customHeight="true" outlineLevel="0" collapsed="false">
      <c r="A128" s="69"/>
      <c r="B128" s="101" t="s">
        <v>481</v>
      </c>
      <c r="C128" s="102" t="s">
        <v>151</v>
      </c>
      <c r="D128" s="151" t="n">
        <v>0</v>
      </c>
      <c r="E128" s="151" t="s">
        <v>151</v>
      </c>
      <c r="F128" s="151" t="s">
        <v>151</v>
      </c>
      <c r="G128" s="151" t="s">
        <v>151</v>
      </c>
      <c r="H128" s="151" t="s">
        <v>151</v>
      </c>
      <c r="I128" s="151" t="s">
        <v>151</v>
      </c>
      <c r="J128" s="151" t="s">
        <v>151</v>
      </c>
      <c r="K128" s="151" t="s">
        <v>151</v>
      </c>
      <c r="L128" s="151" t="s">
        <v>151</v>
      </c>
      <c r="M128" s="151" t="s">
        <v>151</v>
      </c>
      <c r="N128" s="151" t="s">
        <v>151</v>
      </c>
      <c r="O128" s="151" t="s">
        <v>151</v>
      </c>
      <c r="P128" s="105" t="s">
        <v>151</v>
      </c>
      <c r="Q128" s="103" t="n">
        <v>731.85</v>
      </c>
      <c r="R128" s="105" t="s">
        <v>151</v>
      </c>
      <c r="S128" s="105" t="s">
        <v>151</v>
      </c>
      <c r="T128" s="159" t="s">
        <v>151</v>
      </c>
      <c r="U128" s="159" t="s">
        <v>151</v>
      </c>
    </row>
    <row r="129" customFormat="false" ht="20.25" hidden="false" customHeight="true" outlineLevel="0" collapsed="false">
      <c r="A129" s="69"/>
      <c r="B129" s="101" t="s">
        <v>482</v>
      </c>
      <c r="C129" s="102" t="s">
        <v>151</v>
      </c>
      <c r="D129" s="148" t="n">
        <v>2760</v>
      </c>
      <c r="E129" s="101" t="s">
        <v>151</v>
      </c>
      <c r="F129" s="148" t="n">
        <v>1954</v>
      </c>
      <c r="G129" s="101" t="n">
        <v>66</v>
      </c>
      <c r="H129" s="101" t="n">
        <v>428</v>
      </c>
      <c r="I129" s="101" t="n">
        <v>434</v>
      </c>
      <c r="J129" s="148" t="n">
        <v>7876</v>
      </c>
      <c r="K129" s="101" t="n">
        <v>435</v>
      </c>
      <c r="L129" s="148" t="n">
        <v>2363</v>
      </c>
      <c r="M129" s="148" t="n">
        <v>1065</v>
      </c>
      <c r="N129" s="148" t="n">
        <v>7660</v>
      </c>
      <c r="O129" s="148" t="n">
        <v>1121</v>
      </c>
      <c r="P129" s="142" t="n">
        <v>15488.07</v>
      </c>
      <c r="Q129" s="103" t="n">
        <v>680.88</v>
      </c>
      <c r="R129" s="103" t="n">
        <v>680.88</v>
      </c>
      <c r="S129" s="105" t="n">
        <v>680.87</v>
      </c>
      <c r="T129" s="159" t="s">
        <v>151</v>
      </c>
      <c r="U129" s="159" t="s">
        <v>151</v>
      </c>
    </row>
    <row r="130" customFormat="false" ht="30.75" hidden="false" customHeight="true" outlineLevel="0" collapsed="false">
      <c r="A130" s="69"/>
      <c r="B130" s="115" t="s">
        <v>483</v>
      </c>
      <c r="C130" s="102" t="s">
        <v>151</v>
      </c>
      <c r="D130" s="169" t="n">
        <v>2760</v>
      </c>
      <c r="E130" s="170" t="s">
        <v>151</v>
      </c>
      <c r="F130" s="169" t="n">
        <v>1962</v>
      </c>
      <c r="G130" s="170" t="n">
        <v>76</v>
      </c>
      <c r="H130" s="170" t="n">
        <v>448</v>
      </c>
      <c r="I130" s="170" t="n">
        <v>434</v>
      </c>
      <c r="J130" s="171" t="n">
        <v>7886</v>
      </c>
      <c r="K130" s="170" t="n">
        <v>445</v>
      </c>
      <c r="L130" s="169" t="n">
        <v>9334</v>
      </c>
      <c r="M130" s="169" t="n">
        <v>1114</v>
      </c>
      <c r="N130" s="169" t="n">
        <v>7783</v>
      </c>
      <c r="O130" s="169" t="n">
        <v>1321</v>
      </c>
      <c r="P130" s="117" t="n">
        <v>18798.26</v>
      </c>
      <c r="Q130" s="117" t="n">
        <v>1629.12</v>
      </c>
      <c r="R130" s="117" t="n">
        <v>4666.87</v>
      </c>
      <c r="S130" s="117" t="n">
        <v>45500.26</v>
      </c>
      <c r="T130" s="141" t="s">
        <v>151</v>
      </c>
      <c r="U130" s="141" t="s">
        <v>151</v>
      </c>
    </row>
    <row r="131" customFormat="false" ht="15" hidden="false" customHeight="false" outlineLevel="0" collapsed="false">
      <c r="A131" s="69"/>
      <c r="B131" s="102" t="s">
        <v>151</v>
      </c>
      <c r="C131" s="102" t="s">
        <v>151</v>
      </c>
      <c r="D131" s="102" t="s">
        <v>151</v>
      </c>
      <c r="E131" s="102" t="s">
        <v>151</v>
      </c>
      <c r="F131" s="102" t="s">
        <v>151</v>
      </c>
      <c r="G131" s="102" t="s">
        <v>151</v>
      </c>
      <c r="H131" s="102" t="s">
        <v>151</v>
      </c>
      <c r="I131" s="102" t="s">
        <v>151</v>
      </c>
      <c r="J131" s="102" t="s">
        <v>151</v>
      </c>
      <c r="K131" s="102" t="s">
        <v>151</v>
      </c>
      <c r="L131" s="102" t="s">
        <v>151</v>
      </c>
      <c r="M131" s="102" t="s">
        <v>151</v>
      </c>
      <c r="N131" s="102" t="s">
        <v>151</v>
      </c>
      <c r="O131" s="102" t="s">
        <v>151</v>
      </c>
      <c r="P131" s="102" t="s">
        <v>151</v>
      </c>
      <c r="Q131" s="102" t="s">
        <v>151</v>
      </c>
      <c r="R131" s="102" t="s">
        <v>151</v>
      </c>
      <c r="S131" s="102" t="s">
        <v>151</v>
      </c>
      <c r="T131" s="144" t="s">
        <v>151</v>
      </c>
      <c r="U131" s="144" t="s">
        <v>151</v>
      </c>
    </row>
    <row r="132" customFormat="false" ht="30.75" hidden="false" customHeight="true" outlineLevel="0" collapsed="false">
      <c r="A132" s="69"/>
      <c r="B132" s="128" t="s">
        <v>484</v>
      </c>
      <c r="C132" s="102" t="s">
        <v>151</v>
      </c>
      <c r="D132" s="165" t="n">
        <v>4110</v>
      </c>
      <c r="E132" s="164" t="n">
        <v>387</v>
      </c>
      <c r="F132" s="165" t="n">
        <v>2297</v>
      </c>
      <c r="G132" s="164" t="n">
        <v>113</v>
      </c>
      <c r="H132" s="165" t="n">
        <v>1587</v>
      </c>
      <c r="I132" s="165" t="n">
        <v>10552</v>
      </c>
      <c r="J132" s="165" t="n">
        <v>11418</v>
      </c>
      <c r="K132" s="165" t="n">
        <v>6105</v>
      </c>
      <c r="L132" s="165" t="n">
        <v>23783</v>
      </c>
      <c r="M132" s="165" t="n">
        <v>6452</v>
      </c>
      <c r="N132" s="165" t="n">
        <v>8053</v>
      </c>
      <c r="O132" s="165" t="n">
        <v>36730</v>
      </c>
      <c r="P132" s="131" t="n">
        <v>23195.14</v>
      </c>
      <c r="Q132" s="131" t="n">
        <v>19754.89</v>
      </c>
      <c r="R132" s="131" t="n">
        <v>9896.49</v>
      </c>
      <c r="S132" s="131" t="n">
        <v>65165.39</v>
      </c>
      <c r="T132" s="164" t="s">
        <v>151</v>
      </c>
      <c r="U132" s="164" t="s">
        <v>151</v>
      </c>
    </row>
    <row r="133" customFormat="false" ht="20.25" hidden="false" customHeight="true" outlineLevel="0" collapsed="false">
      <c r="A133" s="69"/>
      <c r="B133" s="128" t="s">
        <v>485</v>
      </c>
      <c r="C133" s="102" t="s">
        <v>151</v>
      </c>
      <c r="D133" s="172" t="n">
        <v>20982</v>
      </c>
      <c r="E133" s="172" t="n">
        <v>-16898</v>
      </c>
      <c r="F133" s="172" t="n">
        <v>7755</v>
      </c>
      <c r="G133" s="166" t="n">
        <v>682</v>
      </c>
      <c r="H133" s="172" t="n">
        <v>-7655</v>
      </c>
      <c r="I133" s="172" t="n">
        <v>43189</v>
      </c>
      <c r="J133" s="172" t="n">
        <v>-11820</v>
      </c>
      <c r="K133" s="172" t="n">
        <v>19679</v>
      </c>
      <c r="L133" s="172" t="n">
        <v>-18233</v>
      </c>
      <c r="M133" s="172" t="n">
        <v>32926</v>
      </c>
      <c r="N133" s="172" t="n">
        <v>39253</v>
      </c>
      <c r="O133" s="172" t="n">
        <v>-9668</v>
      </c>
      <c r="P133" s="131" t="n">
        <v>-1188.92</v>
      </c>
      <c r="Q133" s="131" t="n">
        <v>-24083.19</v>
      </c>
      <c r="R133" s="131" t="n">
        <v>4615.42</v>
      </c>
      <c r="S133" s="131" t="n">
        <v>-61908.76</v>
      </c>
      <c r="T133" s="166" t="s">
        <v>151</v>
      </c>
      <c r="U133" s="166" t="s">
        <v>151</v>
      </c>
    </row>
    <row r="134" customFormat="false" ht="15" hidden="false" customHeight="false" outlineLevel="0" collapsed="false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</row>
    <row r="135" customFormat="false" ht="15" hidden="false" customHeight="false" outlineLevel="0" collapsed="false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</row>
    <row r="136" customFormat="false" ht="15" hidden="false" customHeight="false" outlineLevel="0" collapsed="false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</row>
    <row r="137" customFormat="false" ht="15" hidden="false" customHeight="false" outlineLevel="0" collapsed="false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</row>
    <row r="138" customFormat="false" ht="15" hidden="false" customHeight="false" outlineLevel="0" collapsed="false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</row>
    <row r="139" customFormat="false" ht="15" hidden="false" customHeight="false" outlineLevel="0" collapsed="false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</row>
    <row r="140" customFormat="false" ht="15" hidden="false" customHeight="false" outlineLevel="0" collapsed="false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</row>
    <row r="141" customFormat="false" ht="15" hidden="false" customHeight="false" outlineLevel="0" collapsed="false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</row>
    <row r="142" customFormat="false" ht="15" hidden="false" customHeight="false" outlineLevel="0" collapsed="false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</row>
    <row r="143" customFormat="false" ht="15" hidden="false" customHeight="false" outlineLevel="0" collapsed="false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</row>
    <row r="144" customFormat="false" ht="15" hidden="false" customHeight="false" outlineLevel="0" collapsed="false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</row>
    <row r="145" customFormat="false" ht="15" hidden="false" customHeight="false" outlineLevel="0" collapsed="false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</row>
    <row r="146" customFormat="false" ht="15" hidden="false" customHeight="false" outlineLevel="0" collapsed="false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</row>
    <row r="147" customFormat="false" ht="15" hidden="false" customHeight="false" outlineLevel="0" collapsed="false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</row>
    <row r="148" customFormat="false" ht="15" hidden="false" customHeight="false" outlineLevel="0" collapsed="false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</row>
    <row r="149" customFormat="false" ht="15" hidden="false" customHeight="false" outlineLevel="0" collapsed="false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</row>
    <row r="150" customFormat="false" ht="15" hidden="false" customHeight="false" outlineLevel="0" collapsed="false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</row>
    <row r="151" customFormat="false" ht="15" hidden="false" customHeight="false" outlineLevel="0" collapsed="false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</row>
    <row r="152" customFormat="false" ht="15" hidden="false" customHeight="false" outlineLevel="0" collapsed="false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</row>
    <row r="153" customFormat="false" ht="15" hidden="false" customHeight="false" outlineLevel="0" collapsed="false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</row>
    <row r="154" customFormat="false" ht="15" hidden="false" customHeight="false" outlineLevel="0" collapsed="false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</row>
    <row r="155" customFormat="false" ht="15" hidden="false" customHeight="false" outlineLevel="0" collapsed="false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</row>
    <row r="156" customFormat="false" ht="15" hidden="false" customHeight="false" outlineLevel="0" collapsed="false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</row>
    <row r="157" customFormat="false" ht="15" hidden="false" customHeight="false" outlineLevel="0" collapsed="false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</row>
    <row r="158" customFormat="false" ht="15" hidden="false" customHeight="false" outlineLevel="0" collapsed="false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</row>
    <row r="159" customFormat="false" ht="15" hidden="false" customHeight="false" outlineLevel="0" collapsed="false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</row>
    <row r="160" customFormat="false" ht="15" hidden="false" customHeight="false" outlineLevel="0" collapsed="false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</row>
    <row r="161" customFormat="false" ht="15" hidden="false" customHeight="false" outlineLevel="0" collapsed="false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</row>
    <row r="162" customFormat="false" ht="15" hidden="false" customHeight="false" outlineLevel="0" collapsed="false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</row>
    <row r="163" customFormat="false" ht="15" hidden="false" customHeight="false" outlineLevel="0" collapsed="false">
      <c r="A163" s="78" t="s">
        <v>486</v>
      </c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</row>
  </sheetData>
  <mergeCells count="2">
    <mergeCell ref="B1:P1"/>
    <mergeCell ref="B2:P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2026-09-17T15:46:24Z</dcterms:created>
  <dc:creator/>
  <dc:description/>
  <dc:language>en-US</dc:language>
  <cp:lastModifiedBy/>
  <dcterms:modified xsi:type="dcterms:W3CDTF">2026-09-21T16:50:12Z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